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ksu/Desktop/DSA210/TERM PROJECT/"/>
    </mc:Choice>
  </mc:AlternateContent>
  <xr:revisionPtr revIDLastSave="0" documentId="13_ncr:1_{9A2CB516-186D-DF4E-B2AA-2CB2C309CC55}" xr6:coauthVersionLast="47" xr6:coauthVersionMax="47" xr10:uidLastSave="{00000000-0000-0000-0000-000000000000}"/>
  <bookViews>
    <workbookView xWindow="0" yWindow="780" windowWidth="34200" windowHeight="19660" xr2:uid="{35FA082F-BA9A-144B-BE0E-0CE3481738AA}"/>
  </bookViews>
  <sheets>
    <sheet name="Sayfa1" sheetId="1" r:id="rId1"/>
  </sheets>
  <definedNames>
    <definedName name="_xlnm._FilterDatabase" localSheetId="0" hidden="1">Sayfa1!$E$1:$E$128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5" i="1" l="1"/>
  <c r="D116" i="1"/>
  <c r="D118" i="1"/>
  <c r="D119" i="1"/>
  <c r="D121" i="1"/>
  <c r="D122" i="1"/>
  <c r="D123" i="1"/>
  <c r="D124" i="1"/>
  <c r="D125" i="1"/>
  <c r="D126" i="1"/>
  <c r="D127" i="1"/>
  <c r="D128" i="1"/>
  <c r="D114" i="1"/>
  <c r="D80" i="1"/>
  <c r="D76" i="1"/>
  <c r="D30" i="1"/>
  <c r="D31" i="1"/>
  <c r="D32" i="1"/>
  <c r="D33" i="1"/>
  <c r="D34" i="1"/>
  <c r="D35" i="1"/>
  <c r="D36" i="1"/>
  <c r="D37" i="1"/>
  <c r="D38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7" i="1"/>
  <c r="D78" i="1"/>
  <c r="D79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9" i="1"/>
  <c r="D110" i="1"/>
  <c r="D111" i="1"/>
  <c r="D112" i="1"/>
  <c r="D113" i="1"/>
  <c r="D29" i="1"/>
  <c r="D21" i="1"/>
  <c r="D20" i="1"/>
  <c r="D25" i="1"/>
  <c r="D28" i="1"/>
  <c r="D27" i="1"/>
  <c r="D26" i="1"/>
  <c r="D24" i="1"/>
  <c r="D23" i="1"/>
  <c r="D22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<sst xmlns="http://schemas.openxmlformats.org/spreadsheetml/2006/main" count="604" uniqueCount="282">
  <si>
    <t>Medium</t>
  </si>
  <si>
    <t>High</t>
  </si>
  <si>
    <t>Low</t>
  </si>
  <si>
    <t>29 km</t>
  </si>
  <si>
    <t>31 km</t>
  </si>
  <si>
    <t>0.6 km</t>
  </si>
  <si>
    <t>1.1 km</t>
  </si>
  <si>
    <t>64 km</t>
  </si>
  <si>
    <t>Florya - Altunizade</t>
  </si>
  <si>
    <t>Altunizade - Florya</t>
  </si>
  <si>
    <t>Florya - Florya</t>
  </si>
  <si>
    <t>Florya - Tuzla</t>
  </si>
  <si>
    <t>6.5 km</t>
  </si>
  <si>
    <t>Tuzla - Yeşilköy</t>
  </si>
  <si>
    <t>Tuzla - Şekerpınar</t>
  </si>
  <si>
    <t>61 km</t>
  </si>
  <si>
    <t>Tuzla - Florya</t>
  </si>
  <si>
    <t>2.6 km</t>
  </si>
  <si>
    <t>22 km</t>
  </si>
  <si>
    <t>7.3 km</t>
  </si>
  <si>
    <t>9.2 km</t>
  </si>
  <si>
    <t>37 km</t>
  </si>
  <si>
    <t>Florya - Fatih</t>
  </si>
  <si>
    <t>Fatih - Zeytinburnu</t>
  </si>
  <si>
    <t>Zeytinburnu - Yenibosna</t>
  </si>
  <si>
    <t>Yenibosna - Üsküdar</t>
  </si>
  <si>
    <t>50 km</t>
  </si>
  <si>
    <t>Pendik - Florya</t>
  </si>
  <si>
    <t>30 km</t>
  </si>
  <si>
    <t>Kadıköy - Florya</t>
  </si>
  <si>
    <t>Altunizade - Sefaköy</t>
  </si>
  <si>
    <t>Sefaköy - Florya</t>
  </si>
  <si>
    <t>2 km</t>
  </si>
  <si>
    <t>Florya - Filibe</t>
  </si>
  <si>
    <t>404 km</t>
  </si>
  <si>
    <t>Fenerbahçe - Florya</t>
  </si>
  <si>
    <t>Altunizade - Yeşilköy</t>
  </si>
  <si>
    <t>23 km</t>
  </si>
  <si>
    <t>Yeşilköy - Florya</t>
  </si>
  <si>
    <t>4.4 km</t>
  </si>
  <si>
    <t>05.04.2026</t>
  </si>
  <si>
    <t>11:41</t>
  </si>
  <si>
    <t>Fatih - Pendik</t>
  </si>
  <si>
    <t>07.04.2026</t>
  </si>
  <si>
    <t>17:49</t>
  </si>
  <si>
    <t>Yeşilköy - Altunizade</t>
  </si>
  <si>
    <t>13.04.2026</t>
  </si>
  <si>
    <t>14:43</t>
  </si>
  <si>
    <t>Yenibosna - Fatih</t>
  </si>
  <si>
    <t>12.04.2026</t>
  </si>
  <si>
    <t>07:10</t>
  </si>
  <si>
    <t>14.04.2026</t>
  </si>
  <si>
    <t>20:06</t>
  </si>
  <si>
    <t>Pendik - Yenibosna</t>
  </si>
  <si>
    <t>08.04.2026</t>
  </si>
  <si>
    <t>12:04</t>
  </si>
  <si>
    <t>Sefaköy - Fatih</t>
  </si>
  <si>
    <t>02.04.2026</t>
  </si>
  <si>
    <t>12:25</t>
  </si>
  <si>
    <t>Kadıköy - Kadıköy</t>
  </si>
  <si>
    <t>04.04.2026</t>
  </si>
  <si>
    <t>17:33</t>
  </si>
  <si>
    <t>18:02</t>
  </si>
  <si>
    <t>Tuzla - Pendik</t>
  </si>
  <si>
    <t>15:54</t>
  </si>
  <si>
    <t>Zeytinburnu - Fatih</t>
  </si>
  <si>
    <t>19:37</t>
  </si>
  <si>
    <t>Kadıköy - Fatih</t>
  </si>
  <si>
    <t>10:21</t>
  </si>
  <si>
    <t>11:06</t>
  </si>
  <si>
    <t>Altunizade - Fatih</t>
  </si>
  <si>
    <t>10:36</t>
  </si>
  <si>
    <t>09.04.2026</t>
  </si>
  <si>
    <t>07:32</t>
  </si>
  <si>
    <t>Fatih - Üsküdar</t>
  </si>
  <si>
    <t>18:05</t>
  </si>
  <si>
    <t>Pendik - Yeşilköy</t>
  </si>
  <si>
    <t>11.04.2026</t>
  </si>
  <si>
    <t>08:10</t>
  </si>
  <si>
    <t>03.04.2026</t>
  </si>
  <si>
    <t>17:25</t>
  </si>
  <si>
    <t>Florya - Yeşilköy</t>
  </si>
  <si>
    <t>21:55</t>
  </si>
  <si>
    <t>22:25</t>
  </si>
  <si>
    <t>Sefaköy - Üsküdar</t>
  </si>
  <si>
    <t>10.04.2026</t>
  </si>
  <si>
    <t>Fatih - Sefaköy</t>
  </si>
  <si>
    <t>12:43</t>
  </si>
  <si>
    <t>13:32</t>
  </si>
  <si>
    <t>Kadıköy - Yenibosna</t>
  </si>
  <si>
    <t>10:26</t>
  </si>
  <si>
    <t>10:43</t>
  </si>
  <si>
    <t>Yeşilköy - Yeşilköy</t>
  </si>
  <si>
    <t>09:25</t>
  </si>
  <si>
    <t>Yenibosna - Yenibosna</t>
  </si>
  <si>
    <t>12:17</t>
  </si>
  <si>
    <t>19:08</t>
  </si>
  <si>
    <t>Zeytinburnu - Yeşilköy</t>
  </si>
  <si>
    <t>21:27</t>
  </si>
  <si>
    <t>Sefaköy - Zeytinburnu</t>
  </si>
  <si>
    <t>11:27</t>
  </si>
  <si>
    <t>Yenibosna - Yeşilköy</t>
  </si>
  <si>
    <t>15:51</t>
  </si>
  <si>
    <t>17:23</t>
  </si>
  <si>
    <t>Yenibosna - Tuzla</t>
  </si>
  <si>
    <t>01.04.2026</t>
  </si>
  <si>
    <t>10:11</t>
  </si>
  <si>
    <t>21:47</t>
  </si>
  <si>
    <t>22:07</t>
  </si>
  <si>
    <t>18:06</t>
  </si>
  <si>
    <t>Florya - Sefaköy</t>
  </si>
  <si>
    <t>21:09</t>
  </si>
  <si>
    <t>08:35</t>
  </si>
  <si>
    <t>Zeytinburnu - Sefaköy</t>
  </si>
  <si>
    <t>19:28</t>
  </si>
  <si>
    <t>06.04.2026</t>
  </si>
  <si>
    <t>11:54</t>
  </si>
  <si>
    <t>21:36</t>
  </si>
  <si>
    <t>Zeytinburnu - Zeytinburnu</t>
  </si>
  <si>
    <t>15:34</t>
  </si>
  <si>
    <t>Üsküdar - Yenibosna</t>
  </si>
  <si>
    <t>14:42</t>
  </si>
  <si>
    <t>Yenibosna - Sefaköy</t>
  </si>
  <si>
    <t>18:36</t>
  </si>
  <si>
    <t>19:40</t>
  </si>
  <si>
    <t>Yeşilköy - Üsküdar</t>
  </si>
  <si>
    <t>23:00</t>
  </si>
  <si>
    <t>07:37</t>
  </si>
  <si>
    <t>08:36</t>
  </si>
  <si>
    <t>11:33</t>
  </si>
  <si>
    <t>13:45</t>
  </si>
  <si>
    <t>23:45</t>
  </si>
  <si>
    <t>23:51</t>
  </si>
  <si>
    <t>13:03</t>
  </si>
  <si>
    <t>14:28</t>
  </si>
  <si>
    <t>18:25</t>
  </si>
  <si>
    <t>Yenibosna - Florya</t>
  </si>
  <si>
    <t>07:13</t>
  </si>
  <si>
    <t>10:20</t>
  </si>
  <si>
    <t>Fatih - Altunizade</t>
  </si>
  <si>
    <t>18:09</t>
  </si>
  <si>
    <t>19:52</t>
  </si>
  <si>
    <t>23:06</t>
  </si>
  <si>
    <t>Fatih - Yenibosna</t>
  </si>
  <si>
    <t>15:16</t>
  </si>
  <si>
    <t>Üsküdar - Üsküdar</t>
  </si>
  <si>
    <t>23:14</t>
  </si>
  <si>
    <t>Fatih - Fatih</t>
  </si>
  <si>
    <t>07:18</t>
  </si>
  <si>
    <t>Altunizade - Zeytinburnu</t>
  </si>
  <si>
    <t>09:18</t>
  </si>
  <si>
    <t>Pendik - Kadıköy</t>
  </si>
  <si>
    <t>13:44</t>
  </si>
  <si>
    <t>21:01</t>
  </si>
  <si>
    <t>Kadıköy - Sefaköy</t>
  </si>
  <si>
    <t>12:01</t>
  </si>
  <si>
    <t>Sefaköy - Pendik</t>
  </si>
  <si>
    <t>10:45</t>
  </si>
  <si>
    <t>11:56</t>
  </si>
  <si>
    <t>15:22</t>
  </si>
  <si>
    <t>16:45</t>
  </si>
  <si>
    <t>Tuzla - Zeytinburnu</t>
  </si>
  <si>
    <t>11:24</t>
  </si>
  <si>
    <t>18:13</t>
  </si>
  <si>
    <t>06:13</t>
  </si>
  <si>
    <t>06:25</t>
  </si>
  <si>
    <t>Tuzla - Fatih</t>
  </si>
  <si>
    <t>11:01</t>
  </si>
  <si>
    <t>11:10</t>
  </si>
  <si>
    <t>Pendik - Pendik</t>
  </si>
  <si>
    <t>08:47</t>
  </si>
  <si>
    <t>Altunizade - Altunizade</t>
  </si>
  <si>
    <t>13:18</t>
  </si>
  <si>
    <t>17:12</t>
  </si>
  <si>
    <t>Zeytinburnu - Pendik</t>
  </si>
  <si>
    <t>08:24</t>
  </si>
  <si>
    <t>21:32</t>
  </si>
  <si>
    <t>20:12</t>
  </si>
  <si>
    <t>23:04</t>
  </si>
  <si>
    <t>Pendik - Zeytinburnu</t>
  </si>
  <si>
    <t>06:19</t>
  </si>
  <si>
    <t>Üsküdar - Yeşilköy</t>
  </si>
  <si>
    <t>14:59</t>
  </si>
  <si>
    <t>06:05</t>
  </si>
  <si>
    <t>13:02</t>
  </si>
  <si>
    <t>Üsküdar - Tuzla</t>
  </si>
  <si>
    <t>22:59</t>
  </si>
  <si>
    <t>19:25</t>
  </si>
  <si>
    <t>09:26</t>
  </si>
  <si>
    <t>23:47</t>
  </si>
  <si>
    <t>14:27</t>
  </si>
  <si>
    <t>Tuzla - Altunizade</t>
  </si>
  <si>
    <t>23:01</t>
  </si>
  <si>
    <t>Yeşilköy - Pendik</t>
  </si>
  <si>
    <t>15:43</t>
  </si>
  <si>
    <t>Yeşilköy - Zeytinburnu</t>
  </si>
  <si>
    <t>06:52</t>
  </si>
  <si>
    <t>Zeytinburnu - Kadıköy</t>
  </si>
  <si>
    <t>18:08</t>
  </si>
  <si>
    <t>22:57</t>
  </si>
  <si>
    <t>Kadıköy - Yeşilköy</t>
  </si>
  <si>
    <t>06:27</t>
  </si>
  <si>
    <t>07:53</t>
  </si>
  <si>
    <t>Yeşilköy - Yenibosna</t>
  </si>
  <si>
    <t>23:11</t>
  </si>
  <si>
    <t>Tuzla - Sefaköy</t>
  </si>
  <si>
    <t>11:22</t>
  </si>
  <si>
    <t>14:17</t>
  </si>
  <si>
    <t>23:33</t>
  </si>
  <si>
    <t>18:54</t>
  </si>
  <si>
    <t>20:38</t>
  </si>
  <si>
    <t>16:30</t>
  </si>
  <si>
    <t>08:52</t>
  </si>
  <si>
    <t>Pendik - Altunizade</t>
  </si>
  <si>
    <t>11:11</t>
  </si>
  <si>
    <t>11:57</t>
  </si>
  <si>
    <t>07:57</t>
  </si>
  <si>
    <t>Üsküdar - Kadıköy</t>
  </si>
  <si>
    <t>43 km</t>
  </si>
  <si>
    <t>28 km</t>
  </si>
  <si>
    <t>15 km</t>
  </si>
  <si>
    <t>58 km</t>
  </si>
  <si>
    <t>16 km</t>
  </si>
  <si>
    <t>Fenerbahçe - Moda</t>
  </si>
  <si>
    <t>9.7 km</t>
  </si>
  <si>
    <t>18 km</t>
  </si>
  <si>
    <t>48 km</t>
  </si>
  <si>
    <t>6.9 km</t>
  </si>
  <si>
    <t>13 km</t>
  </si>
  <si>
    <t>4 km</t>
  </si>
  <si>
    <t>3 km</t>
  </si>
  <si>
    <t>12 km</t>
  </si>
  <si>
    <t>11 km</t>
  </si>
  <si>
    <t>8.3 km</t>
  </si>
  <si>
    <t>10 km</t>
  </si>
  <si>
    <t>3.1 km</t>
  </si>
  <si>
    <t>67 km</t>
  </si>
  <si>
    <t>5 km</t>
  </si>
  <si>
    <t>6.2 km</t>
  </si>
  <si>
    <t>38 km</t>
  </si>
  <si>
    <t>32 km</t>
  </si>
  <si>
    <t>36 km</t>
  </si>
  <si>
    <t>5.1 km</t>
  </si>
  <si>
    <t>2.1 km</t>
  </si>
  <si>
    <t>estimated_duration</t>
  </si>
  <si>
    <t>actual_duration</t>
  </si>
  <si>
    <t>arrival</t>
  </si>
  <si>
    <t>departure</t>
  </si>
  <si>
    <t>date</t>
  </si>
  <si>
    <t>trafic_level</t>
  </si>
  <si>
    <t>distance</t>
  </si>
  <si>
    <t>destination</t>
  </si>
  <si>
    <t>num_lights</t>
  </si>
  <si>
    <t>53 km</t>
  </si>
  <si>
    <t>9 km</t>
  </si>
  <si>
    <t>25 km</t>
  </si>
  <si>
    <t>74 km</t>
  </si>
  <si>
    <t>3.8 km</t>
  </si>
  <si>
    <t>39 km</t>
  </si>
  <si>
    <t>17 km</t>
  </si>
  <si>
    <t>4.2 km</t>
  </si>
  <si>
    <t>17.2 km</t>
  </si>
  <si>
    <t>15.4 km</t>
  </si>
  <si>
    <t>30.4 km</t>
  </si>
  <si>
    <t>35 km</t>
  </si>
  <si>
    <t>26 km</t>
  </si>
  <si>
    <t>24.2 km</t>
  </si>
  <si>
    <t>33 km</t>
  </si>
  <si>
    <t>57.4 km</t>
  </si>
  <si>
    <t>46 km</t>
  </si>
  <si>
    <t>44 km</t>
  </si>
  <si>
    <t>72 km</t>
  </si>
  <si>
    <t>66 km</t>
  </si>
  <si>
    <t>60 km</t>
  </si>
  <si>
    <t>40 km</t>
  </si>
  <si>
    <t>42 km</t>
  </si>
  <si>
    <t>70 km</t>
  </si>
  <si>
    <t>51 km</t>
  </si>
  <si>
    <t>8.1 km</t>
  </si>
  <si>
    <t>8.7 km</t>
  </si>
  <si>
    <t>9.4 km</t>
  </si>
  <si>
    <t>3.2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</si>
</sst>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5">
    <font>
      <sz val="12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5"/>
      <color theme="0"/>
      <name val="Aptos Narrow"/>
      <scheme val="minor"/>
    </font>
    <font>
      <sz val="14"/>
      <color rgb="FF000000"/>
      <name val="-webkit-standard"/>
    </font>
    <font>
      <sz val="12"/>
      <color rgb="FF000000"/>
      <name val="Aptos Narrow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0" fontId="3" fillId="0" borderId="0" xfId="0" applyNumberFormat="1" applyFont="1"/>
    <xf numFmtId="20" fontId="4" fillId="0" borderId="0" xfId="0" applyNumberFormat="1" applyFont="1"/>
    <xf numFmtId="164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0087-E270-E642-AB04-DA14DCBF27FC}">
  <dimension ref="A1:K128"/>
  <sheetViews>
    <sheetView tabSelected="1" topLeftCell="A97" zoomScale="99" workbookViewId="0">
      <selection activeCell="M110" sqref="M110"/>
    </sheetView>
  </sheetViews>
  <sheetFormatPr baseColWidth="10" defaultRowHeight="16"/>
  <cols>
    <col min="1" max="1" width="10.83203125" style="1"/>
    <col min="2" max="2" width="17.5" style="2" customWidth="1"/>
    <col min="3" max="3" width="18.5" style="2" customWidth="1"/>
    <col min="4" max="4" width="20" style="2" customWidth="1"/>
    <col min="5" max="5" width="21.1640625" style="2" customWidth="1"/>
    <col min="6" max="6" width="27.6640625" style="17" customWidth="1"/>
    <col min="7" max="7" width="13.6640625" style="1" customWidth="1"/>
    <col min="8" max="8" width="24.33203125" style="1" customWidth="1"/>
    <col min="9" max="9" width="16.5" style="1" customWidth="1"/>
  </cols>
  <sheetData>
    <row r="1" spans="1:9" s="1" customFormat="1" ht="20">
      <c r="A1" s="3" t="s">
        <v>248</v>
      </c>
      <c r="B1" s="3" t="s">
        <v>247</v>
      </c>
      <c r="C1" s="3" t="s">
        <v>246</v>
      </c>
      <c r="D1" s="3" t="s">
        <v>245</v>
      </c>
      <c r="E1" s="3" t="s">
        <v>251</v>
      </c>
      <c r="F1" s="3" t="s">
        <v>252</v>
      </c>
      <c r="G1" s="4" t="s">
        <v>250</v>
      </c>
      <c r="H1" s="4" t="s">
        <v>244</v>
      </c>
      <c r="I1" s="4" t="s">
        <v>249</v>
      </c>
    </row>
    <row r="2" spans="1:9">
      <c r="A2" s="5">
        <v>46112</v>
      </c>
      <c r="B2" s="6">
        <v>0.32569444444444445</v>
      </c>
      <c r="C2" s="6">
        <v>0.35416666666666669</v>
      </c>
      <c r="D2" s="6">
        <f>C2-B2</f>
        <v>2.8472222222222232E-2</v>
      </c>
      <c r="E2" s="6" t="s">
        <v>8</v>
      </c>
      <c r="F2" s="15">
        <v>13</v>
      </c>
      <c r="G2" s="7" t="s">
        <v>3</v>
      </c>
      <c r="H2" s="6">
        <v>3.0555555555555555E-2</v>
      </c>
      <c r="I2" s="8" t="s">
        <v>0</v>
      </c>
    </row>
    <row r="3" spans="1:9">
      <c r="A3" s="13">
        <v>46112</v>
      </c>
      <c r="B3" s="14">
        <v>0.72569444444444442</v>
      </c>
      <c r="C3" s="14">
        <v>0.76111111111111107</v>
      </c>
      <c r="D3" s="14">
        <f t="shared" ref="D3:D22" si="0">C3-B3</f>
        <v>3.5416666666666652E-2</v>
      </c>
      <c r="E3" s="14" t="s">
        <v>9</v>
      </c>
      <c r="F3" s="16">
        <v>8</v>
      </c>
      <c r="G3" s="11" t="s">
        <v>4</v>
      </c>
      <c r="H3" s="12">
        <v>3.6805555555555557E-2</v>
      </c>
      <c r="I3" s="10" t="s">
        <v>1</v>
      </c>
    </row>
    <row r="4" spans="1:9">
      <c r="A4" s="5">
        <v>46112</v>
      </c>
      <c r="B4" s="6">
        <v>0.77152777777777781</v>
      </c>
      <c r="C4" s="6">
        <v>0.77500000000000002</v>
      </c>
      <c r="D4" s="6">
        <f t="shared" si="0"/>
        <v>3.4722222222222099E-3</v>
      </c>
      <c r="E4" s="6" t="s">
        <v>10</v>
      </c>
      <c r="F4" s="15">
        <v>0</v>
      </c>
      <c r="G4" s="7" t="s">
        <v>5</v>
      </c>
      <c r="H4" s="9">
        <v>1.3888888888888889E-3</v>
      </c>
      <c r="I4" s="8" t="s">
        <v>2</v>
      </c>
    </row>
    <row r="5" spans="1:9">
      <c r="A5" s="13">
        <v>46112</v>
      </c>
      <c r="B5" s="14">
        <v>0.84513888888888888</v>
      </c>
      <c r="C5" s="14">
        <v>0.84791666666666665</v>
      </c>
      <c r="D5" s="14">
        <f t="shared" si="0"/>
        <v>2.7777777777777679E-3</v>
      </c>
      <c r="E5" s="14" t="s">
        <v>10</v>
      </c>
      <c r="F5" s="16">
        <v>0</v>
      </c>
      <c r="G5" s="11" t="s">
        <v>6</v>
      </c>
      <c r="H5" s="12">
        <v>2.0833333333333333E-3</v>
      </c>
      <c r="I5" s="10" t="s">
        <v>2</v>
      </c>
    </row>
    <row r="6" spans="1:9">
      <c r="A6" s="5">
        <v>46113</v>
      </c>
      <c r="B6" s="6">
        <v>0.56388888888888888</v>
      </c>
      <c r="C6" s="6">
        <v>0.6166666666666667</v>
      </c>
      <c r="D6" s="6">
        <f t="shared" si="0"/>
        <v>5.2777777777777812E-2</v>
      </c>
      <c r="E6" s="6" t="s">
        <v>11</v>
      </c>
      <c r="F6" s="15">
        <v>11</v>
      </c>
      <c r="G6" s="7" t="s">
        <v>7</v>
      </c>
      <c r="H6" s="9">
        <v>5.1388888888888887E-2</v>
      </c>
      <c r="I6" s="8" t="s">
        <v>0</v>
      </c>
    </row>
    <row r="7" spans="1:9">
      <c r="A7" s="13">
        <v>46113</v>
      </c>
      <c r="B7" s="14">
        <v>0.78749999999999998</v>
      </c>
      <c r="C7" s="14">
        <v>0.7993055555555556</v>
      </c>
      <c r="D7" s="14">
        <f t="shared" si="0"/>
        <v>1.1805555555555625E-2</v>
      </c>
      <c r="E7" s="14" t="s">
        <v>14</v>
      </c>
      <c r="F7" s="16">
        <v>1</v>
      </c>
      <c r="G7" s="10" t="s">
        <v>12</v>
      </c>
      <c r="H7" s="12">
        <v>6.9444444444444441E-3</v>
      </c>
      <c r="I7" s="10" t="s">
        <v>2</v>
      </c>
    </row>
    <row r="8" spans="1:9">
      <c r="A8" s="5">
        <v>46113</v>
      </c>
      <c r="B8" s="6">
        <v>0.89166666666666672</v>
      </c>
      <c r="C8" s="6">
        <v>0.92291666666666672</v>
      </c>
      <c r="D8" s="6">
        <f t="shared" si="0"/>
        <v>3.125E-2</v>
      </c>
      <c r="E8" s="6" t="s">
        <v>13</v>
      </c>
      <c r="F8" s="15">
        <v>4</v>
      </c>
      <c r="G8" s="8" t="s">
        <v>15</v>
      </c>
      <c r="H8" s="9">
        <v>3.6805555555555557E-2</v>
      </c>
      <c r="I8" s="8" t="s">
        <v>2</v>
      </c>
    </row>
    <row r="9" spans="1:9">
      <c r="A9" s="13">
        <v>46114</v>
      </c>
      <c r="B9" s="14">
        <v>0.50347222222222221</v>
      </c>
      <c r="C9" s="14">
        <v>0.55069444444444449</v>
      </c>
      <c r="D9" s="14">
        <f t="shared" si="0"/>
        <v>4.7222222222222276E-2</v>
      </c>
      <c r="E9" s="14" t="s">
        <v>11</v>
      </c>
      <c r="F9" s="16">
        <v>12</v>
      </c>
      <c r="G9" s="10" t="s">
        <v>7</v>
      </c>
      <c r="H9" s="12">
        <v>4.791666666666667E-2</v>
      </c>
      <c r="I9" s="10" t="s">
        <v>0</v>
      </c>
    </row>
    <row r="10" spans="1:9">
      <c r="A10" s="5">
        <v>46114</v>
      </c>
      <c r="B10" s="6">
        <v>0.69861111111111107</v>
      </c>
      <c r="C10" s="6">
        <v>0.79652777777777772</v>
      </c>
      <c r="D10" s="6">
        <f t="shared" si="0"/>
        <v>9.7916666666666652E-2</v>
      </c>
      <c r="E10" s="6" t="s">
        <v>16</v>
      </c>
      <c r="F10" s="15">
        <v>7</v>
      </c>
      <c r="G10" s="8" t="s">
        <v>7</v>
      </c>
      <c r="H10" s="9">
        <v>8.4027777777777785E-2</v>
      </c>
      <c r="I10" s="8" t="s">
        <v>1</v>
      </c>
    </row>
    <row r="11" spans="1:9">
      <c r="A11" s="13">
        <v>46114</v>
      </c>
      <c r="B11" s="14">
        <v>0.87013888888888891</v>
      </c>
      <c r="C11" s="14">
        <v>0.875</v>
      </c>
      <c r="D11" s="14">
        <f t="shared" si="0"/>
        <v>4.8611111111110938E-3</v>
      </c>
      <c r="E11" s="14" t="s">
        <v>10</v>
      </c>
      <c r="F11" s="16">
        <v>2</v>
      </c>
      <c r="G11" s="10" t="s">
        <v>17</v>
      </c>
      <c r="H11" s="12">
        <v>4.1666666666666666E-3</v>
      </c>
      <c r="I11" s="10" t="s">
        <v>2</v>
      </c>
    </row>
    <row r="12" spans="1:9">
      <c r="A12" s="5">
        <v>46116</v>
      </c>
      <c r="B12" s="6">
        <v>0.55625000000000002</v>
      </c>
      <c r="C12" s="6">
        <v>0.58750000000000002</v>
      </c>
      <c r="D12" s="6">
        <f t="shared" si="0"/>
        <v>3.125E-2</v>
      </c>
      <c r="E12" s="6" t="s">
        <v>22</v>
      </c>
      <c r="F12" s="15">
        <v>17</v>
      </c>
      <c r="G12" s="8" t="s">
        <v>18</v>
      </c>
      <c r="H12" s="9">
        <v>3.4027777777777775E-2</v>
      </c>
      <c r="I12" s="8" t="s">
        <v>1</v>
      </c>
    </row>
    <row r="13" spans="1:9">
      <c r="A13" s="13">
        <v>46116</v>
      </c>
      <c r="B13" s="14">
        <v>0.64166666666666672</v>
      </c>
      <c r="C13" s="14">
        <v>0.66111111111111109</v>
      </c>
      <c r="D13" s="14">
        <f t="shared" si="0"/>
        <v>1.9444444444444375E-2</v>
      </c>
      <c r="E13" s="14" t="s">
        <v>23</v>
      </c>
      <c r="F13" s="16">
        <v>3</v>
      </c>
      <c r="G13" s="10" t="s">
        <v>19</v>
      </c>
      <c r="H13" s="12">
        <v>1.1805555555555555E-2</v>
      </c>
      <c r="I13" s="10" t="s">
        <v>1</v>
      </c>
    </row>
    <row r="14" spans="1:9">
      <c r="A14" s="5">
        <v>46116</v>
      </c>
      <c r="B14" s="6">
        <v>0.74305555555555558</v>
      </c>
      <c r="C14" s="6">
        <v>0.76180555555555551</v>
      </c>
      <c r="D14" s="6">
        <f t="shared" si="0"/>
        <v>1.8749999999999933E-2</v>
      </c>
      <c r="E14" s="6" t="s">
        <v>24</v>
      </c>
      <c r="F14" s="15">
        <v>0</v>
      </c>
      <c r="G14" s="8" t="s">
        <v>20</v>
      </c>
      <c r="H14" s="9">
        <v>1.7361111111111112E-2</v>
      </c>
      <c r="I14" s="8" t="s">
        <v>1</v>
      </c>
    </row>
    <row r="15" spans="1:9">
      <c r="A15" s="13">
        <v>46116</v>
      </c>
      <c r="B15" s="14">
        <v>0.79652777777777772</v>
      </c>
      <c r="C15" s="14">
        <v>0.84375</v>
      </c>
      <c r="D15" s="14">
        <f t="shared" si="0"/>
        <v>4.7222222222222276E-2</v>
      </c>
      <c r="E15" s="14" t="s">
        <v>25</v>
      </c>
      <c r="F15" s="16">
        <v>5</v>
      </c>
      <c r="G15" s="10" t="s">
        <v>21</v>
      </c>
      <c r="H15" s="12">
        <v>4.1666666666666664E-2</v>
      </c>
      <c r="I15" s="10" t="s">
        <v>0</v>
      </c>
    </row>
    <row r="16" spans="1:9">
      <c r="A16" s="5">
        <v>46118</v>
      </c>
      <c r="B16" s="6">
        <v>0.4152777777777778</v>
      </c>
      <c r="C16" s="6">
        <v>0.4597222222222222</v>
      </c>
      <c r="D16" s="6">
        <f t="shared" si="0"/>
        <v>4.4444444444444398E-2</v>
      </c>
      <c r="E16" s="6" t="s">
        <v>11</v>
      </c>
      <c r="F16" s="15">
        <v>11</v>
      </c>
      <c r="G16" s="8" t="s">
        <v>7</v>
      </c>
      <c r="H16" s="9">
        <v>4.8611111111111112E-2</v>
      </c>
      <c r="I16" s="8" t="s">
        <v>0</v>
      </c>
    </row>
    <row r="17" spans="1:9">
      <c r="A17" s="13">
        <v>46118</v>
      </c>
      <c r="B17" s="14">
        <v>0.91111111111111109</v>
      </c>
      <c r="C17" s="14">
        <v>0.93680555555555556</v>
      </c>
      <c r="D17" s="14">
        <f t="shared" si="0"/>
        <v>2.5694444444444464E-2</v>
      </c>
      <c r="E17" s="14" t="s">
        <v>27</v>
      </c>
      <c r="F17" s="16">
        <v>7</v>
      </c>
      <c r="G17" s="10" t="s">
        <v>26</v>
      </c>
      <c r="H17" s="12">
        <v>2.9166666666666667E-2</v>
      </c>
      <c r="I17" s="10" t="s">
        <v>2</v>
      </c>
    </row>
    <row r="18" spans="1:9">
      <c r="A18" s="5">
        <v>46119</v>
      </c>
      <c r="B18" s="6">
        <v>0.31597222222222221</v>
      </c>
      <c r="C18" s="6">
        <v>0.34375</v>
      </c>
      <c r="D18" s="6">
        <f t="shared" si="0"/>
        <v>2.777777777777779E-2</v>
      </c>
      <c r="E18" s="6" t="s">
        <v>8</v>
      </c>
      <c r="F18" s="15">
        <v>13</v>
      </c>
      <c r="G18" s="8" t="s">
        <v>28</v>
      </c>
      <c r="H18" s="9">
        <v>2.9166666666666667E-2</v>
      </c>
      <c r="I18" s="8" t="s">
        <v>0</v>
      </c>
    </row>
    <row r="19" spans="1:9">
      <c r="A19" s="13">
        <v>46119</v>
      </c>
      <c r="B19" s="14">
        <v>0.70763888888888893</v>
      </c>
      <c r="C19" s="14">
        <v>0.74930555555555556</v>
      </c>
      <c r="D19" s="14">
        <f t="shared" si="0"/>
        <v>4.166666666666663E-2</v>
      </c>
      <c r="E19" s="14" t="s">
        <v>9</v>
      </c>
      <c r="F19" s="16">
        <v>8</v>
      </c>
      <c r="G19" s="10" t="s">
        <v>4</v>
      </c>
      <c r="H19" s="12">
        <v>4.0972222222222222E-2</v>
      </c>
      <c r="I19" s="10" t="s">
        <v>1</v>
      </c>
    </row>
    <row r="20" spans="1:9">
      <c r="A20" s="5">
        <v>46120</v>
      </c>
      <c r="B20" s="6">
        <v>0.4548611111111111</v>
      </c>
      <c r="C20" s="6">
        <v>0.4909722222222222</v>
      </c>
      <c r="D20" s="6">
        <f t="shared" si="0"/>
        <v>3.6111111111111094E-2</v>
      </c>
      <c r="E20" s="6" t="s">
        <v>11</v>
      </c>
      <c r="F20" s="15">
        <v>11</v>
      </c>
      <c r="G20" s="8" t="s">
        <v>7</v>
      </c>
      <c r="H20" s="9">
        <v>4.6527777777777779E-2</v>
      </c>
      <c r="I20" s="8" t="s">
        <v>0</v>
      </c>
    </row>
    <row r="21" spans="1:9">
      <c r="A21" s="13">
        <v>46120</v>
      </c>
      <c r="B21" s="14">
        <v>0.9375</v>
      </c>
      <c r="C21" s="14">
        <v>0.95277777777777772</v>
      </c>
      <c r="D21" s="14">
        <f t="shared" si="0"/>
        <v>1.5277777777777724E-2</v>
      </c>
      <c r="E21" s="14" t="s">
        <v>29</v>
      </c>
      <c r="F21" s="16">
        <v>6</v>
      </c>
      <c r="G21" s="10" t="s">
        <v>3</v>
      </c>
      <c r="H21" s="12">
        <v>1.9444444444444445E-2</v>
      </c>
      <c r="I21" s="10" t="s">
        <v>2</v>
      </c>
    </row>
    <row r="22" spans="1:9">
      <c r="A22" s="5">
        <v>46122</v>
      </c>
      <c r="B22" s="6">
        <v>0.4</v>
      </c>
      <c r="C22" s="6">
        <v>0.43125000000000002</v>
      </c>
      <c r="D22" s="6">
        <f t="shared" si="0"/>
        <v>3.125E-2</v>
      </c>
      <c r="E22" s="6" t="s">
        <v>8</v>
      </c>
      <c r="F22" s="15">
        <v>13</v>
      </c>
      <c r="G22" s="8" t="s">
        <v>28</v>
      </c>
      <c r="H22" s="9">
        <v>2.7777777777777776E-2</v>
      </c>
      <c r="I22" s="8" t="s">
        <v>0</v>
      </c>
    </row>
    <row r="23" spans="1:9">
      <c r="A23" s="13">
        <v>46122</v>
      </c>
      <c r="B23" s="14">
        <v>0.47291666666666665</v>
      </c>
      <c r="C23" s="14">
        <v>0.50277777777777777</v>
      </c>
      <c r="D23" s="14">
        <f t="shared" ref="D23:D28" si="1">C23-B23</f>
        <v>2.9861111111111116E-2</v>
      </c>
      <c r="E23" s="14" t="s">
        <v>30</v>
      </c>
      <c r="F23" s="16">
        <v>3</v>
      </c>
      <c r="G23" s="10" t="s">
        <v>3</v>
      </c>
      <c r="H23" s="12">
        <v>3.1944444444444442E-2</v>
      </c>
      <c r="I23" s="10" t="s">
        <v>1</v>
      </c>
    </row>
    <row r="24" spans="1:9">
      <c r="A24" s="5">
        <v>46122</v>
      </c>
      <c r="B24" s="6">
        <v>0.50555555555555554</v>
      </c>
      <c r="C24" s="6">
        <v>0.51388888888888884</v>
      </c>
      <c r="D24" s="6">
        <f t="shared" si="1"/>
        <v>8.3333333333333037E-3</v>
      </c>
      <c r="E24" s="6" t="s">
        <v>31</v>
      </c>
      <c r="F24" s="15">
        <v>1</v>
      </c>
      <c r="G24" s="8" t="s">
        <v>32</v>
      </c>
      <c r="H24" s="9">
        <v>5.5555555555555558E-3</v>
      </c>
      <c r="I24" s="8" t="s">
        <v>0</v>
      </c>
    </row>
    <row r="25" spans="1:9">
      <c r="A25" s="13">
        <v>46122</v>
      </c>
      <c r="B25" s="14">
        <v>0.69027777777777777</v>
      </c>
      <c r="C25" s="14">
        <v>0.94374999999999998</v>
      </c>
      <c r="D25" s="14">
        <f t="shared" si="1"/>
        <v>0.25347222222222221</v>
      </c>
      <c r="E25" s="14" t="s">
        <v>33</v>
      </c>
      <c r="F25" s="16">
        <v>7</v>
      </c>
      <c r="G25" s="10" t="s">
        <v>34</v>
      </c>
      <c r="H25" s="12">
        <v>0.2048611111111111</v>
      </c>
      <c r="I25" s="10" t="s">
        <v>0</v>
      </c>
    </row>
    <row r="26" spans="1:9">
      <c r="A26" s="5">
        <v>46125</v>
      </c>
      <c r="B26" s="6">
        <v>0.96805555555555556</v>
      </c>
      <c r="C26" s="6">
        <v>0.98958333333333337</v>
      </c>
      <c r="D26" s="6">
        <f t="shared" si="1"/>
        <v>2.1527777777777812E-2</v>
      </c>
      <c r="E26" s="6" t="s">
        <v>35</v>
      </c>
      <c r="F26" s="15">
        <v>6</v>
      </c>
      <c r="G26" s="8" t="s">
        <v>28</v>
      </c>
      <c r="H26" s="9">
        <v>2.4305555555555556E-2</v>
      </c>
      <c r="I26" s="8" t="s">
        <v>2</v>
      </c>
    </row>
    <row r="27" spans="1:9">
      <c r="A27" s="13">
        <v>46126</v>
      </c>
      <c r="B27" s="14">
        <v>0.70347222222222228</v>
      </c>
      <c r="C27" s="14">
        <v>0.7368055555555556</v>
      </c>
      <c r="D27" s="14">
        <f t="shared" si="1"/>
        <v>3.3333333333333326E-2</v>
      </c>
      <c r="E27" s="14" t="s">
        <v>36</v>
      </c>
      <c r="F27" s="16">
        <v>8</v>
      </c>
      <c r="G27" s="10" t="s">
        <v>37</v>
      </c>
      <c r="H27" s="12">
        <v>3.4027777777777775E-2</v>
      </c>
      <c r="I27" s="10" t="s">
        <v>1</v>
      </c>
    </row>
    <row r="28" spans="1:9">
      <c r="A28" s="5">
        <v>46126</v>
      </c>
      <c r="B28" s="6">
        <v>0.75624999999999998</v>
      </c>
      <c r="C28" s="6">
        <v>0.76458333333333328</v>
      </c>
      <c r="D28" s="6">
        <f t="shared" si="1"/>
        <v>8.3333333333333037E-3</v>
      </c>
      <c r="E28" s="6" t="s">
        <v>38</v>
      </c>
      <c r="F28" s="15">
        <v>5</v>
      </c>
      <c r="G28" s="8" t="s">
        <v>39</v>
      </c>
      <c r="H28" s="9">
        <v>7.6388888888888886E-3</v>
      </c>
      <c r="I28" s="8" t="s">
        <v>0</v>
      </c>
    </row>
    <row r="29" spans="1:9">
      <c r="A29" s="13" t="s">
        <v>40</v>
      </c>
      <c r="B29" s="14" t="s">
        <v>41</v>
      </c>
      <c r="C29" s="14">
        <v>0.52569444444444446</v>
      </c>
      <c r="D29" s="14">
        <f>C29-B29</f>
        <v>3.8888888888888917E-2</v>
      </c>
      <c r="E29" s="14" t="s">
        <v>42</v>
      </c>
      <c r="F29" s="16">
        <v>7</v>
      </c>
      <c r="G29" s="10" t="s">
        <v>218</v>
      </c>
      <c r="H29" s="12">
        <v>4.7222222222222221E-2</v>
      </c>
      <c r="I29" s="10" t="s">
        <v>0</v>
      </c>
    </row>
    <row r="30" spans="1:9">
      <c r="A30" s="5" t="s">
        <v>43</v>
      </c>
      <c r="B30" s="6" t="s">
        <v>44</v>
      </c>
      <c r="C30" s="6">
        <v>0.78194444444444444</v>
      </c>
      <c r="D30" s="18">
        <f t="shared" ref="D30:D93" si="2">C30-B30</f>
        <v>3.9583333333333304E-2</v>
      </c>
      <c r="E30" s="6" t="s">
        <v>45</v>
      </c>
      <c r="F30" s="15">
        <v>4</v>
      </c>
      <c r="G30" s="8" t="s">
        <v>219</v>
      </c>
      <c r="H30" s="9">
        <v>5.2083333333333336E-2</v>
      </c>
      <c r="I30" s="8" t="s">
        <v>1</v>
      </c>
    </row>
    <row r="31" spans="1:9">
      <c r="A31" s="13" t="s">
        <v>46</v>
      </c>
      <c r="B31" s="14" t="s">
        <v>47</v>
      </c>
      <c r="C31" s="14">
        <v>0.63055555555555554</v>
      </c>
      <c r="D31" s="14">
        <f t="shared" si="2"/>
        <v>1.7361111111111049E-2</v>
      </c>
      <c r="E31" s="14" t="s">
        <v>48</v>
      </c>
      <c r="F31" s="16">
        <v>2</v>
      </c>
      <c r="G31" s="10" t="s">
        <v>220</v>
      </c>
      <c r="H31" s="12">
        <v>2.2222222222222223E-2</v>
      </c>
      <c r="I31" s="10" t="s">
        <v>0</v>
      </c>
    </row>
    <row r="32" spans="1:9">
      <c r="A32" s="5" t="s">
        <v>49</v>
      </c>
      <c r="B32" s="6" t="s">
        <v>50</v>
      </c>
      <c r="C32" s="6">
        <v>0.3298611111111111</v>
      </c>
      <c r="D32" s="18">
        <f t="shared" si="2"/>
        <v>3.125E-2</v>
      </c>
      <c r="E32" s="6" t="s">
        <v>8</v>
      </c>
      <c r="F32" s="15">
        <v>14</v>
      </c>
      <c r="G32" s="8" t="s">
        <v>3</v>
      </c>
      <c r="H32" s="9">
        <v>2.9166666666666667E-2</v>
      </c>
      <c r="I32" s="8" t="s">
        <v>2</v>
      </c>
    </row>
    <row r="33" spans="1:9">
      <c r="A33" s="13" t="s">
        <v>51</v>
      </c>
      <c r="B33" s="14" t="s">
        <v>52</v>
      </c>
      <c r="C33" s="14">
        <v>0.87986111111111109</v>
      </c>
      <c r="D33" s="14">
        <f t="shared" si="2"/>
        <v>4.2361111111111072E-2</v>
      </c>
      <c r="E33" s="14" t="s">
        <v>53</v>
      </c>
      <c r="F33" s="16">
        <v>4</v>
      </c>
      <c r="G33" s="10" t="s">
        <v>221</v>
      </c>
      <c r="H33" s="12">
        <v>4.027777777777778E-2</v>
      </c>
      <c r="I33" s="10" t="s">
        <v>2</v>
      </c>
    </row>
    <row r="34" spans="1:9">
      <c r="A34" s="5" t="s">
        <v>54</v>
      </c>
      <c r="B34" s="6" t="s">
        <v>55</v>
      </c>
      <c r="C34" s="6">
        <v>0.53472222222222221</v>
      </c>
      <c r="D34" s="18">
        <f t="shared" si="2"/>
        <v>3.1944444444444442E-2</v>
      </c>
      <c r="E34" s="6" t="s">
        <v>56</v>
      </c>
      <c r="F34" s="15">
        <v>7</v>
      </c>
      <c r="G34" s="8" t="s">
        <v>222</v>
      </c>
      <c r="H34" s="9">
        <v>2.6388888888888889E-2</v>
      </c>
      <c r="I34" s="8" t="s">
        <v>0</v>
      </c>
    </row>
    <row r="35" spans="1:9">
      <c r="A35" s="13" t="s">
        <v>57</v>
      </c>
      <c r="B35" s="14" t="s">
        <v>58</v>
      </c>
      <c r="C35" s="14">
        <v>0.5395833333333333</v>
      </c>
      <c r="D35" s="14">
        <f t="shared" si="2"/>
        <v>2.2222222222222143E-2</v>
      </c>
      <c r="E35" s="14" t="s">
        <v>223</v>
      </c>
      <c r="F35" s="16">
        <v>7</v>
      </c>
      <c r="G35" s="10" t="s">
        <v>39</v>
      </c>
      <c r="H35" s="12">
        <v>1.9444444444444445E-2</v>
      </c>
      <c r="I35" s="10" t="s">
        <v>0</v>
      </c>
    </row>
    <row r="36" spans="1:9">
      <c r="A36" s="5" t="s">
        <v>60</v>
      </c>
      <c r="B36" s="6" t="s">
        <v>61</v>
      </c>
      <c r="C36" s="6" t="s">
        <v>62</v>
      </c>
      <c r="D36" s="18">
        <f t="shared" si="2"/>
        <v>2.0138888888888928E-2</v>
      </c>
      <c r="E36" s="6" t="s">
        <v>63</v>
      </c>
      <c r="F36" s="15">
        <v>5</v>
      </c>
      <c r="G36" s="8" t="s">
        <v>224</v>
      </c>
      <c r="H36" s="9">
        <v>1.7361111111111112E-2</v>
      </c>
      <c r="I36" s="8" t="s">
        <v>1</v>
      </c>
    </row>
    <row r="37" spans="1:9">
      <c r="A37" s="13" t="s">
        <v>57</v>
      </c>
      <c r="B37" s="14" t="s">
        <v>64</v>
      </c>
      <c r="C37" s="14">
        <v>0.68611111111111112</v>
      </c>
      <c r="D37" s="14">
        <f t="shared" si="2"/>
        <v>2.3611111111111138E-2</v>
      </c>
      <c r="E37" s="14" t="s">
        <v>65</v>
      </c>
      <c r="F37" s="16">
        <v>8</v>
      </c>
      <c r="G37" s="10" t="s">
        <v>12</v>
      </c>
      <c r="H37" s="12">
        <v>2.4305555555555556E-2</v>
      </c>
      <c r="I37" s="10" t="s">
        <v>0</v>
      </c>
    </row>
    <row r="38" spans="1:9">
      <c r="A38" s="5" t="s">
        <v>46</v>
      </c>
      <c r="B38" s="6" t="s">
        <v>66</v>
      </c>
      <c r="C38" s="6">
        <v>0.85902777777777772</v>
      </c>
      <c r="D38" s="18">
        <f t="shared" si="2"/>
        <v>4.166666666666663E-2</v>
      </c>
      <c r="E38" s="6" t="s">
        <v>67</v>
      </c>
      <c r="F38" s="15">
        <v>4</v>
      </c>
      <c r="G38" s="8" t="s">
        <v>225</v>
      </c>
      <c r="H38" s="9">
        <v>4.7222222222222221E-2</v>
      </c>
      <c r="I38" s="8" t="s">
        <v>0</v>
      </c>
    </row>
    <row r="39" spans="1:9">
      <c r="A39" s="13" t="s">
        <v>54</v>
      </c>
      <c r="B39" s="14" t="s">
        <v>68</v>
      </c>
      <c r="C39" s="14" t="s">
        <v>69</v>
      </c>
      <c r="D39" s="14">
        <v>1.9444444444444445E-2</v>
      </c>
      <c r="E39" s="14" t="s">
        <v>70</v>
      </c>
      <c r="F39" s="16">
        <v>8</v>
      </c>
      <c r="G39" s="10" t="s">
        <v>220</v>
      </c>
      <c r="H39" s="12">
        <v>2.2222222222222223E-2</v>
      </c>
      <c r="I39" s="10" t="s">
        <v>0</v>
      </c>
    </row>
    <row r="40" spans="1:9">
      <c r="A40" s="5" t="s">
        <v>60</v>
      </c>
      <c r="B40" s="6" t="s">
        <v>71</v>
      </c>
      <c r="C40" s="6">
        <v>0.48194444444444445</v>
      </c>
      <c r="D40" s="18">
        <f t="shared" si="2"/>
        <v>4.0277777777777801E-2</v>
      </c>
      <c r="E40" s="6" t="s">
        <v>45</v>
      </c>
      <c r="F40" s="15">
        <v>12</v>
      </c>
      <c r="G40" s="8" t="s">
        <v>219</v>
      </c>
      <c r="H40" s="9">
        <v>3.6111111111111108E-2</v>
      </c>
      <c r="I40" s="8" t="s">
        <v>0</v>
      </c>
    </row>
    <row r="41" spans="1:9">
      <c r="A41" s="13" t="s">
        <v>72</v>
      </c>
      <c r="B41" s="14" t="s">
        <v>73</v>
      </c>
      <c r="C41" s="14">
        <v>0.33611111111111114</v>
      </c>
      <c r="D41" s="14">
        <f t="shared" si="2"/>
        <v>2.2222222222222254E-2</v>
      </c>
      <c r="E41" s="14" t="s">
        <v>74</v>
      </c>
      <c r="F41" s="16">
        <v>3</v>
      </c>
      <c r="G41" s="10" t="s">
        <v>228</v>
      </c>
      <c r="H41" s="12">
        <v>1.8749999999999999E-2</v>
      </c>
      <c r="I41" s="10" t="s">
        <v>2</v>
      </c>
    </row>
    <row r="42" spans="1:9">
      <c r="A42" s="5" t="s">
        <v>46</v>
      </c>
      <c r="B42" s="6" t="s">
        <v>75</v>
      </c>
      <c r="C42" s="6">
        <v>0.82430555555555551</v>
      </c>
      <c r="D42" s="18">
        <f t="shared" si="2"/>
        <v>7.0833333333333304E-2</v>
      </c>
      <c r="E42" s="6" t="s">
        <v>76</v>
      </c>
      <c r="F42" s="15">
        <v>6</v>
      </c>
      <c r="G42" s="8" t="s">
        <v>226</v>
      </c>
      <c r="H42" s="9">
        <v>5.4166666666666669E-2</v>
      </c>
      <c r="I42" s="8" t="s">
        <v>1</v>
      </c>
    </row>
    <row r="43" spans="1:9">
      <c r="A43" s="13" t="s">
        <v>77</v>
      </c>
      <c r="B43" s="14" t="s">
        <v>78</v>
      </c>
      <c r="C43" s="14">
        <v>0.3840277777777778</v>
      </c>
      <c r="D43" s="14">
        <f t="shared" si="2"/>
        <v>4.3750000000000011E-2</v>
      </c>
      <c r="E43" s="14" t="s">
        <v>29</v>
      </c>
      <c r="F43" s="16">
        <v>10</v>
      </c>
      <c r="G43" s="10" t="s">
        <v>3</v>
      </c>
      <c r="H43" s="12">
        <v>3.3333333333333333E-2</v>
      </c>
      <c r="I43" s="10" t="s">
        <v>0</v>
      </c>
    </row>
    <row r="44" spans="1:9">
      <c r="A44" s="5" t="s">
        <v>79</v>
      </c>
      <c r="B44" s="6" t="s">
        <v>80</v>
      </c>
      <c r="C44" s="6">
        <v>0.74722222222222223</v>
      </c>
      <c r="D44" s="18">
        <f t="shared" si="2"/>
        <v>2.1527777777777812E-2</v>
      </c>
      <c r="E44" s="6" t="s">
        <v>81</v>
      </c>
      <c r="F44" s="15">
        <v>4</v>
      </c>
      <c r="G44" s="8" t="s">
        <v>227</v>
      </c>
      <c r="H44" s="9">
        <v>2.4305555555555556E-2</v>
      </c>
      <c r="I44" s="8" t="s">
        <v>1</v>
      </c>
    </row>
    <row r="45" spans="1:9">
      <c r="A45" s="13" t="s">
        <v>43</v>
      </c>
      <c r="B45" s="14" t="s">
        <v>82</v>
      </c>
      <c r="C45" s="14">
        <v>0.93541666666666667</v>
      </c>
      <c r="D45" s="14">
        <f t="shared" si="2"/>
        <v>2.2222222222222254E-2</v>
      </c>
      <c r="E45" s="14" t="s">
        <v>84</v>
      </c>
      <c r="F45" s="16">
        <v>9</v>
      </c>
      <c r="G45" s="10" t="s">
        <v>4</v>
      </c>
      <c r="H45" s="12">
        <v>2.5694444444444443E-2</v>
      </c>
      <c r="I45" s="10" t="s">
        <v>2</v>
      </c>
    </row>
    <row r="46" spans="1:9">
      <c r="A46" s="5" t="s">
        <v>85</v>
      </c>
      <c r="B46" s="6" t="s">
        <v>83</v>
      </c>
      <c r="C46" s="6">
        <v>0.95138888888888884</v>
      </c>
      <c r="D46" s="18">
        <f t="shared" si="2"/>
        <v>1.7361111111111049E-2</v>
      </c>
      <c r="E46" s="6" t="s">
        <v>86</v>
      </c>
      <c r="F46" s="15">
        <v>3</v>
      </c>
      <c r="G46" s="8" t="s">
        <v>228</v>
      </c>
      <c r="H46" s="9">
        <v>1.7361111111111112E-2</v>
      </c>
      <c r="I46" s="8" t="s">
        <v>2</v>
      </c>
    </row>
    <row r="47" spans="1:9">
      <c r="A47" s="13" t="s">
        <v>77</v>
      </c>
      <c r="B47" s="14" t="s">
        <v>87</v>
      </c>
      <c r="C47" s="14" t="s">
        <v>88</v>
      </c>
      <c r="D47" s="14">
        <f t="shared" si="2"/>
        <v>3.4027777777777768E-2</v>
      </c>
      <c r="E47" s="14" t="s">
        <v>89</v>
      </c>
      <c r="F47" s="16">
        <v>5</v>
      </c>
      <c r="G47" s="10" t="s">
        <v>28</v>
      </c>
      <c r="H47" s="12">
        <v>3.125E-2</v>
      </c>
      <c r="I47" s="10" t="s">
        <v>0</v>
      </c>
    </row>
    <row r="48" spans="1:9">
      <c r="A48" s="5" t="s">
        <v>77</v>
      </c>
      <c r="B48" s="6" t="s">
        <v>90</v>
      </c>
      <c r="C48" s="6">
        <v>0.43888888888888888</v>
      </c>
      <c r="D48" s="18">
        <f t="shared" si="2"/>
        <v>4.1666666666666519E-3</v>
      </c>
      <c r="E48" s="6" t="s">
        <v>92</v>
      </c>
      <c r="F48" s="15">
        <v>1</v>
      </c>
      <c r="G48" s="8" t="s">
        <v>229</v>
      </c>
      <c r="H48" s="9">
        <v>2.7777777777777779E-3</v>
      </c>
      <c r="I48" s="8" t="s">
        <v>0</v>
      </c>
    </row>
    <row r="49" spans="1:9">
      <c r="A49" s="13" t="s">
        <v>72</v>
      </c>
      <c r="B49" s="14" t="s">
        <v>93</v>
      </c>
      <c r="C49" s="14">
        <v>0.40763888888888888</v>
      </c>
      <c r="D49" s="14">
        <f t="shared" si="2"/>
        <v>1.5277777777777779E-2</v>
      </c>
      <c r="E49" s="14" t="s">
        <v>94</v>
      </c>
      <c r="F49" s="16">
        <v>2</v>
      </c>
      <c r="G49" s="10" t="s">
        <v>230</v>
      </c>
      <c r="H49" s="12">
        <v>1.0416666666666666E-2</v>
      </c>
      <c r="I49" s="10" t="s">
        <v>1</v>
      </c>
    </row>
    <row r="50" spans="1:9">
      <c r="A50" s="5" t="s">
        <v>46</v>
      </c>
      <c r="B50" s="6" t="s">
        <v>95</v>
      </c>
      <c r="C50" s="6">
        <v>0.5395833333333333</v>
      </c>
      <c r="D50" s="18">
        <f t="shared" si="2"/>
        <v>2.777777777777779E-2</v>
      </c>
      <c r="E50" s="6" t="s">
        <v>86</v>
      </c>
      <c r="F50" s="15">
        <v>5</v>
      </c>
      <c r="G50" s="8" t="s">
        <v>220</v>
      </c>
      <c r="H50" s="9">
        <v>2.2222222222222223E-2</v>
      </c>
      <c r="I50" s="8" t="s">
        <v>0</v>
      </c>
    </row>
    <row r="51" spans="1:9">
      <c r="A51" s="13" t="s">
        <v>54</v>
      </c>
      <c r="B51" s="14" t="s">
        <v>96</v>
      </c>
      <c r="C51" s="14">
        <v>0.80555555555555558</v>
      </c>
      <c r="D51" s="14">
        <f t="shared" si="2"/>
        <v>8.3333333333333037E-3</v>
      </c>
      <c r="E51" s="14" t="s">
        <v>97</v>
      </c>
      <c r="F51" s="16">
        <v>11</v>
      </c>
      <c r="G51" s="10" t="s">
        <v>231</v>
      </c>
      <c r="H51" s="12">
        <v>1.0416666666666666E-2</v>
      </c>
      <c r="I51" s="10" t="s">
        <v>0</v>
      </c>
    </row>
    <row r="52" spans="1:9">
      <c r="A52" s="5" t="s">
        <v>54</v>
      </c>
      <c r="B52" s="6" t="s">
        <v>98</v>
      </c>
      <c r="C52" s="6">
        <v>0.90694444444444444</v>
      </c>
      <c r="D52" s="18">
        <f t="shared" si="2"/>
        <v>1.3194444444444398E-2</v>
      </c>
      <c r="E52" s="6" t="s">
        <v>99</v>
      </c>
      <c r="F52" s="15">
        <v>3</v>
      </c>
      <c r="G52" s="8" t="s">
        <v>232</v>
      </c>
      <c r="H52" s="9">
        <v>8.3333333333333332E-3</v>
      </c>
      <c r="I52" s="8" t="s">
        <v>2</v>
      </c>
    </row>
    <row r="53" spans="1:9">
      <c r="A53" s="13" t="s">
        <v>43</v>
      </c>
      <c r="B53" s="14" t="s">
        <v>100</v>
      </c>
      <c r="C53" s="14">
        <v>0.48958333333333331</v>
      </c>
      <c r="D53" s="14">
        <f t="shared" si="2"/>
        <v>1.2499999999999956E-2</v>
      </c>
      <c r="E53" s="14" t="s">
        <v>101</v>
      </c>
      <c r="F53" s="16">
        <v>1</v>
      </c>
      <c r="G53" s="10" t="s">
        <v>234</v>
      </c>
      <c r="H53" s="12">
        <v>1.2500000000000001E-2</v>
      </c>
      <c r="I53" s="10" t="s">
        <v>0</v>
      </c>
    </row>
    <row r="54" spans="1:9">
      <c r="A54" s="5" t="s">
        <v>85</v>
      </c>
      <c r="B54" s="6" t="s">
        <v>102</v>
      </c>
      <c r="C54" s="6" t="s">
        <v>103</v>
      </c>
      <c r="D54" s="18">
        <f t="shared" si="2"/>
        <v>6.3888888888888884E-2</v>
      </c>
      <c r="E54" s="6" t="s">
        <v>104</v>
      </c>
      <c r="F54" s="15">
        <v>3</v>
      </c>
      <c r="G54" s="8" t="s">
        <v>236</v>
      </c>
      <c r="H54" s="9">
        <v>5.2083333333333336E-2</v>
      </c>
      <c r="I54" s="8" t="s">
        <v>0</v>
      </c>
    </row>
    <row r="55" spans="1:9">
      <c r="A55" s="13" t="s">
        <v>105</v>
      </c>
      <c r="B55" s="14" t="s">
        <v>106</v>
      </c>
      <c r="C55" s="14">
        <v>0.44166666666666665</v>
      </c>
      <c r="D55" s="14">
        <f t="shared" si="2"/>
        <v>1.7361111111111105E-2</v>
      </c>
      <c r="E55" s="14" t="s">
        <v>65</v>
      </c>
      <c r="F55" s="16">
        <v>7</v>
      </c>
      <c r="G55" s="10" t="s">
        <v>233</v>
      </c>
      <c r="H55" s="12">
        <v>1.8749999999999999E-2</v>
      </c>
      <c r="I55" s="10" t="s">
        <v>0</v>
      </c>
    </row>
    <row r="56" spans="1:9">
      <c r="A56" s="5" t="s">
        <v>60</v>
      </c>
      <c r="B56" s="6" t="s">
        <v>107</v>
      </c>
      <c r="C56" s="6" t="s">
        <v>108</v>
      </c>
      <c r="D56" s="18">
        <f t="shared" si="2"/>
        <v>1.388888888888884E-2</v>
      </c>
      <c r="E56" s="6" t="s">
        <v>67</v>
      </c>
      <c r="F56" s="15">
        <v>8</v>
      </c>
      <c r="G56" s="8" t="s">
        <v>222</v>
      </c>
      <c r="H56" s="9">
        <v>1.3888888888888888E-2</v>
      </c>
      <c r="I56" s="8" t="s">
        <v>2</v>
      </c>
    </row>
    <row r="57" spans="1:9">
      <c r="A57" s="13" t="s">
        <v>40</v>
      </c>
      <c r="B57" s="14" t="s">
        <v>109</v>
      </c>
      <c r="C57" s="14">
        <v>0.76180555555555551</v>
      </c>
      <c r="D57" s="14">
        <f t="shared" si="2"/>
        <v>7.6388888888888618E-3</v>
      </c>
      <c r="E57" s="14" t="s">
        <v>110</v>
      </c>
      <c r="F57" s="16">
        <v>1</v>
      </c>
      <c r="G57" s="10" t="s">
        <v>235</v>
      </c>
      <c r="H57" s="12">
        <v>4.8611111111111112E-3</v>
      </c>
      <c r="I57" s="10" t="s">
        <v>1</v>
      </c>
    </row>
    <row r="58" spans="1:9">
      <c r="A58" s="5" t="s">
        <v>72</v>
      </c>
      <c r="B58" s="6" t="s">
        <v>111</v>
      </c>
      <c r="C58" s="6">
        <v>0.88749999999999996</v>
      </c>
      <c r="D58" s="18">
        <f t="shared" si="2"/>
        <v>6.2499999999999778E-3</v>
      </c>
      <c r="E58" s="6" t="s">
        <v>23</v>
      </c>
      <c r="F58" s="15">
        <v>4</v>
      </c>
      <c r="G58" s="8" t="s">
        <v>234</v>
      </c>
      <c r="H58" s="9">
        <v>8.3333333333333332E-3</v>
      </c>
      <c r="I58" s="8" t="s">
        <v>2</v>
      </c>
    </row>
    <row r="59" spans="1:9">
      <c r="A59" s="13" t="s">
        <v>57</v>
      </c>
      <c r="B59" s="14" t="s">
        <v>112</v>
      </c>
      <c r="C59" s="14">
        <v>0.37847222222222221</v>
      </c>
      <c r="D59" s="14">
        <f t="shared" si="2"/>
        <v>2.0833333333333315E-2</v>
      </c>
      <c r="E59" s="14" t="s">
        <v>113</v>
      </c>
      <c r="F59" s="16">
        <v>6</v>
      </c>
      <c r="G59" s="10" t="s">
        <v>234</v>
      </c>
      <c r="H59" s="12">
        <v>1.8055555555555554E-2</v>
      </c>
      <c r="I59" s="10" t="s">
        <v>0</v>
      </c>
    </row>
    <row r="60" spans="1:9">
      <c r="A60" s="5" t="s">
        <v>57</v>
      </c>
      <c r="B60" s="6" t="s">
        <v>114</v>
      </c>
      <c r="C60" s="6">
        <v>0.82361111111111107</v>
      </c>
      <c r="D60" s="18">
        <f t="shared" si="2"/>
        <v>1.2499999999999956E-2</v>
      </c>
      <c r="E60" s="6" t="s">
        <v>113</v>
      </c>
      <c r="F60" s="15">
        <v>5</v>
      </c>
      <c r="G60" s="8" t="s">
        <v>228</v>
      </c>
      <c r="H60" s="9">
        <v>8.3333333333333332E-3</v>
      </c>
      <c r="I60" s="8" t="s">
        <v>2</v>
      </c>
    </row>
    <row r="61" spans="1:9">
      <c r="A61" s="13" t="s">
        <v>115</v>
      </c>
      <c r="B61" s="14" t="s">
        <v>116</v>
      </c>
      <c r="C61" s="14">
        <v>0.54722222222222228</v>
      </c>
      <c r="D61" s="14">
        <f t="shared" si="2"/>
        <v>5.1388888888888928E-2</v>
      </c>
      <c r="E61" s="14" t="s">
        <v>11</v>
      </c>
      <c r="F61" s="16">
        <v>12</v>
      </c>
      <c r="G61" s="10" t="s">
        <v>236</v>
      </c>
      <c r="H61" s="12">
        <v>5.5555555555555552E-2</v>
      </c>
      <c r="I61" s="10" t="s">
        <v>0</v>
      </c>
    </row>
    <row r="62" spans="1:9">
      <c r="A62" s="5" t="s">
        <v>49</v>
      </c>
      <c r="B62" s="6" t="s">
        <v>117</v>
      </c>
      <c r="C62" s="6">
        <v>0.90277777777777779</v>
      </c>
      <c r="D62" s="18">
        <f t="shared" si="2"/>
        <v>2.7777777777777679E-3</v>
      </c>
      <c r="E62" s="6" t="s">
        <v>118</v>
      </c>
      <c r="F62" s="15">
        <v>7</v>
      </c>
      <c r="G62" s="8" t="s">
        <v>237</v>
      </c>
      <c r="H62" s="9">
        <v>4.8611111111111112E-3</v>
      </c>
      <c r="I62" s="8" t="s">
        <v>2</v>
      </c>
    </row>
    <row r="63" spans="1:9">
      <c r="A63" s="13" t="s">
        <v>51</v>
      </c>
      <c r="B63" s="14" t="s">
        <v>119</v>
      </c>
      <c r="C63" s="14">
        <v>0.68888888888888888</v>
      </c>
      <c r="D63" s="14">
        <f t="shared" si="2"/>
        <v>4.0277777777777746E-2</v>
      </c>
      <c r="E63" s="14" t="s">
        <v>120</v>
      </c>
      <c r="F63" s="16">
        <v>4</v>
      </c>
      <c r="G63" s="10" t="s">
        <v>241</v>
      </c>
      <c r="H63" s="12">
        <v>3.888888888888889E-2</v>
      </c>
      <c r="I63" s="10" t="s">
        <v>0</v>
      </c>
    </row>
    <row r="64" spans="1:9">
      <c r="A64" s="5" t="s">
        <v>54</v>
      </c>
      <c r="B64" s="6" t="s">
        <v>121</v>
      </c>
      <c r="C64" s="6">
        <v>0.62708333333333333</v>
      </c>
      <c r="D64" s="18">
        <f t="shared" si="2"/>
        <v>1.4583333333333282E-2</v>
      </c>
      <c r="E64" s="6" t="s">
        <v>122</v>
      </c>
      <c r="F64" s="15">
        <v>2</v>
      </c>
      <c r="G64" s="8" t="s">
        <v>238</v>
      </c>
      <c r="H64" s="9">
        <v>1.0416666666666666E-2</v>
      </c>
      <c r="I64" s="8" t="s">
        <v>0</v>
      </c>
    </row>
    <row r="65" spans="1:9">
      <c r="A65" s="13" t="s">
        <v>72</v>
      </c>
      <c r="B65" s="14" t="s">
        <v>123</v>
      </c>
      <c r="C65" s="14" t="s">
        <v>124</v>
      </c>
      <c r="D65" s="14">
        <f t="shared" si="2"/>
        <v>4.4444444444444398E-2</v>
      </c>
      <c r="E65" s="14" t="s">
        <v>125</v>
      </c>
      <c r="F65" s="16">
        <v>6</v>
      </c>
      <c r="G65" s="10" t="s">
        <v>240</v>
      </c>
      <c r="H65" s="12">
        <v>3.6111111111111108E-2</v>
      </c>
      <c r="I65" s="10" t="s">
        <v>1</v>
      </c>
    </row>
    <row r="66" spans="1:9">
      <c r="A66" s="5" t="s">
        <v>46</v>
      </c>
      <c r="B66" s="6" t="s">
        <v>126</v>
      </c>
      <c r="C66" s="6">
        <v>0.97916666666666663</v>
      </c>
      <c r="D66" s="18">
        <f t="shared" si="2"/>
        <v>2.0833333333333259E-2</v>
      </c>
      <c r="E66" s="6" t="s">
        <v>84</v>
      </c>
      <c r="F66" s="15">
        <v>8</v>
      </c>
      <c r="G66" s="8" t="s">
        <v>239</v>
      </c>
      <c r="H66" s="9">
        <v>2.7777777777777776E-2</v>
      </c>
      <c r="I66" s="8" t="s">
        <v>2</v>
      </c>
    </row>
    <row r="67" spans="1:9">
      <c r="A67" s="13" t="s">
        <v>85</v>
      </c>
      <c r="B67" s="14" t="s">
        <v>127</v>
      </c>
      <c r="C67" s="14" t="s">
        <v>128</v>
      </c>
      <c r="D67" s="14">
        <f t="shared" si="2"/>
        <v>4.0972222222222243E-2</v>
      </c>
      <c r="E67" s="14" t="s">
        <v>8</v>
      </c>
      <c r="F67" s="16">
        <v>13</v>
      </c>
      <c r="G67" s="10" t="s">
        <v>3</v>
      </c>
      <c r="H67" s="12">
        <v>2.9166666666666667E-2</v>
      </c>
      <c r="I67" s="10" t="s">
        <v>2</v>
      </c>
    </row>
    <row r="68" spans="1:9">
      <c r="A68" s="5" t="s">
        <v>49</v>
      </c>
      <c r="B68" s="6" t="s">
        <v>129</v>
      </c>
      <c r="C68" s="6">
        <v>0.49027777777777776</v>
      </c>
      <c r="D68" s="18">
        <f t="shared" si="2"/>
        <v>9.0277777777777457E-3</v>
      </c>
      <c r="E68" s="6" t="s">
        <v>59</v>
      </c>
      <c r="F68" s="15">
        <v>4</v>
      </c>
      <c r="G68" s="8" t="s">
        <v>243</v>
      </c>
      <c r="H68" s="9">
        <v>1.0416666666666666E-2</v>
      </c>
      <c r="I68" s="8" t="s">
        <v>0</v>
      </c>
    </row>
    <row r="69" spans="1:9">
      <c r="A69" s="13" t="s">
        <v>57</v>
      </c>
      <c r="B69" s="14" t="s">
        <v>130</v>
      </c>
      <c r="C69" s="14">
        <v>0.61111111111111116</v>
      </c>
      <c r="D69" s="14">
        <f t="shared" si="2"/>
        <v>3.8194444444444531E-2</v>
      </c>
      <c r="E69" s="14" t="s">
        <v>29</v>
      </c>
      <c r="F69" s="16">
        <v>7</v>
      </c>
      <c r="G69" s="10" t="s">
        <v>3</v>
      </c>
      <c r="H69" s="12">
        <v>4.3055555555555555E-2</v>
      </c>
      <c r="I69" s="10" t="s">
        <v>0</v>
      </c>
    </row>
    <row r="70" spans="1:9">
      <c r="A70" s="5" t="s">
        <v>77</v>
      </c>
      <c r="B70" s="6" t="s">
        <v>131</v>
      </c>
      <c r="C70" s="6" t="s">
        <v>132</v>
      </c>
      <c r="D70" s="18">
        <f t="shared" si="2"/>
        <v>4.1666666666666519E-3</v>
      </c>
      <c r="E70" s="6" t="s">
        <v>81</v>
      </c>
      <c r="F70" s="15">
        <v>7</v>
      </c>
      <c r="G70" s="8" t="s">
        <v>242</v>
      </c>
      <c r="H70" s="9">
        <v>5.5555555555555558E-3</v>
      </c>
      <c r="I70" s="8" t="s">
        <v>2</v>
      </c>
    </row>
    <row r="71" spans="1:9">
      <c r="A71" s="13" t="s">
        <v>57</v>
      </c>
      <c r="B71" s="14" t="s">
        <v>133</v>
      </c>
      <c r="C71" s="14" t="s">
        <v>134</v>
      </c>
      <c r="D71" s="14">
        <f t="shared" si="2"/>
        <v>5.902777777777779E-2</v>
      </c>
      <c r="E71" s="14" t="s">
        <v>76</v>
      </c>
      <c r="F71" s="16">
        <v>12</v>
      </c>
      <c r="G71" s="10" t="s">
        <v>253</v>
      </c>
      <c r="H71" s="12">
        <v>4.8611111111111112E-2</v>
      </c>
      <c r="I71" s="10" t="s">
        <v>0</v>
      </c>
    </row>
    <row r="72" spans="1:9">
      <c r="A72" s="5" t="s">
        <v>54</v>
      </c>
      <c r="B72" s="6" t="s">
        <v>135</v>
      </c>
      <c r="C72" s="6">
        <v>0.79305555555555551</v>
      </c>
      <c r="D72" s="18">
        <f t="shared" si="2"/>
        <v>2.5694444444444353E-2</v>
      </c>
      <c r="E72" s="6" t="s">
        <v>136</v>
      </c>
      <c r="F72" s="15">
        <v>4</v>
      </c>
      <c r="G72" s="8" t="s">
        <v>228</v>
      </c>
      <c r="H72" s="9">
        <v>1.7361111111111112E-2</v>
      </c>
      <c r="I72" s="8" t="s">
        <v>1</v>
      </c>
    </row>
    <row r="73" spans="1:9">
      <c r="A73" s="13" t="s">
        <v>49</v>
      </c>
      <c r="B73" s="14" t="s">
        <v>137</v>
      </c>
      <c r="C73" s="14">
        <v>0.30555555555555558</v>
      </c>
      <c r="D73" s="14">
        <f t="shared" si="2"/>
        <v>4.8611111111111494E-3</v>
      </c>
      <c r="E73" s="14" t="s">
        <v>63</v>
      </c>
      <c r="F73" s="16">
        <v>1</v>
      </c>
      <c r="G73" s="10" t="s">
        <v>254</v>
      </c>
      <c r="H73" s="12">
        <v>6.9444444444444441E-3</v>
      </c>
      <c r="I73" s="10" t="s">
        <v>2</v>
      </c>
    </row>
    <row r="74" spans="1:9">
      <c r="A74" s="5" t="s">
        <v>54</v>
      </c>
      <c r="B74" s="6" t="s">
        <v>138</v>
      </c>
      <c r="C74" s="6">
        <v>0.44236111111111109</v>
      </c>
      <c r="D74" s="18">
        <f t="shared" si="2"/>
        <v>1.1805555555555514E-2</v>
      </c>
      <c r="E74" s="6" t="s">
        <v>139</v>
      </c>
      <c r="F74" s="15">
        <v>8</v>
      </c>
      <c r="G74" s="8" t="s">
        <v>220</v>
      </c>
      <c r="H74" s="9">
        <v>1.1805555555555555E-2</v>
      </c>
      <c r="I74" s="8" t="s">
        <v>0</v>
      </c>
    </row>
    <row r="75" spans="1:9">
      <c r="A75" s="13" t="s">
        <v>43</v>
      </c>
      <c r="B75" s="14" t="s">
        <v>140</v>
      </c>
      <c r="C75" s="14" t="s">
        <v>141</v>
      </c>
      <c r="D75" s="14">
        <f t="shared" si="2"/>
        <v>7.1527777777777746E-2</v>
      </c>
      <c r="E75" s="14" t="s">
        <v>84</v>
      </c>
      <c r="F75" s="16">
        <v>6</v>
      </c>
      <c r="G75" s="10" t="s">
        <v>258</v>
      </c>
      <c r="H75" s="12">
        <v>6.25E-2</v>
      </c>
      <c r="I75" s="10" t="s">
        <v>1</v>
      </c>
    </row>
    <row r="76" spans="1:9">
      <c r="A76" s="5" t="s">
        <v>57</v>
      </c>
      <c r="B76" s="6" t="s">
        <v>142</v>
      </c>
      <c r="C76" s="6">
        <v>0.98611111111111116</v>
      </c>
      <c r="D76" s="18">
        <f>C76-B76</f>
        <v>2.3611111111111138E-2</v>
      </c>
      <c r="E76" s="6" t="s">
        <v>143</v>
      </c>
      <c r="F76" s="15">
        <v>7</v>
      </c>
      <c r="G76" s="8" t="s">
        <v>231</v>
      </c>
      <c r="H76" s="9">
        <v>1.9444444444444445E-2</v>
      </c>
      <c r="I76" s="8" t="s">
        <v>0</v>
      </c>
    </row>
    <row r="77" spans="1:9">
      <c r="A77" s="13" t="s">
        <v>79</v>
      </c>
      <c r="B77" s="14" t="s">
        <v>144</v>
      </c>
      <c r="C77" s="14">
        <v>0.65138888888888891</v>
      </c>
      <c r="D77" s="14">
        <f t="shared" si="2"/>
        <v>1.5277777777777835E-2</v>
      </c>
      <c r="E77" s="14" t="s">
        <v>145</v>
      </c>
      <c r="F77" s="16">
        <v>2</v>
      </c>
      <c r="G77" s="10" t="s">
        <v>257</v>
      </c>
      <c r="H77" s="12">
        <v>8.3333333333333332E-3</v>
      </c>
      <c r="I77" s="10" t="s">
        <v>0</v>
      </c>
    </row>
    <row r="78" spans="1:9">
      <c r="A78" s="5" t="s">
        <v>60</v>
      </c>
      <c r="B78" s="6" t="s">
        <v>146</v>
      </c>
      <c r="C78" s="6">
        <v>0.97222222222222221</v>
      </c>
      <c r="D78" s="18">
        <f t="shared" si="2"/>
        <v>4.1666666666666519E-3</v>
      </c>
      <c r="E78" s="6" t="s">
        <v>147</v>
      </c>
      <c r="F78" s="15">
        <v>5</v>
      </c>
      <c r="G78" s="8" t="s">
        <v>257</v>
      </c>
      <c r="H78" s="9">
        <v>3.472222222222222E-3</v>
      </c>
      <c r="I78" s="8" t="s">
        <v>2</v>
      </c>
    </row>
    <row r="79" spans="1:9">
      <c r="A79" s="13" t="s">
        <v>49</v>
      </c>
      <c r="B79" s="14" t="s">
        <v>148</v>
      </c>
      <c r="C79" s="14">
        <v>0.31944444444444442</v>
      </c>
      <c r="D79" s="14">
        <f t="shared" si="2"/>
        <v>1.5277777777777779E-2</v>
      </c>
      <c r="E79" s="14" t="s">
        <v>149</v>
      </c>
      <c r="F79" s="16">
        <v>4</v>
      </c>
      <c r="G79" s="10" t="s">
        <v>225</v>
      </c>
      <c r="H79" s="12">
        <v>1.3888888888888888E-2</v>
      </c>
      <c r="I79" s="10" t="s">
        <v>2</v>
      </c>
    </row>
    <row r="80" spans="1:9">
      <c r="A80" s="5" t="s">
        <v>79</v>
      </c>
      <c r="B80" s="6" t="s">
        <v>150</v>
      </c>
      <c r="C80" s="6">
        <v>0.42499999999999999</v>
      </c>
      <c r="D80" s="18">
        <f t="shared" si="2"/>
        <v>3.7499999999999978E-2</v>
      </c>
      <c r="E80" s="6" t="s">
        <v>151</v>
      </c>
      <c r="F80" s="15">
        <v>5</v>
      </c>
      <c r="G80" s="8" t="s">
        <v>255</v>
      </c>
      <c r="H80" s="9">
        <v>3.888888888888889E-2</v>
      </c>
      <c r="I80" s="8" t="s">
        <v>1</v>
      </c>
    </row>
    <row r="81" spans="1:11">
      <c r="A81" s="13" t="s">
        <v>105</v>
      </c>
      <c r="B81" s="14" t="s">
        <v>152</v>
      </c>
      <c r="C81" s="14">
        <v>0.62638888888888888</v>
      </c>
      <c r="D81" s="14">
        <f t="shared" si="2"/>
        <v>5.4166666666666696E-2</v>
      </c>
      <c r="E81" s="14" t="s">
        <v>16</v>
      </c>
      <c r="F81" s="16">
        <v>13</v>
      </c>
      <c r="G81" s="10" t="s">
        <v>256</v>
      </c>
      <c r="H81" s="12">
        <v>5.5555555555555552E-2</v>
      </c>
      <c r="I81" s="10" t="s">
        <v>0</v>
      </c>
    </row>
    <row r="82" spans="1:11">
      <c r="A82" s="5" t="s">
        <v>40</v>
      </c>
      <c r="B82" s="6" t="s">
        <v>153</v>
      </c>
      <c r="C82" s="6">
        <v>0.91527777777777775</v>
      </c>
      <c r="D82" s="21">
        <f t="shared" si="2"/>
        <v>3.9583333333333304E-2</v>
      </c>
      <c r="E82" s="6" t="s">
        <v>154</v>
      </c>
      <c r="F82" s="15">
        <v>16</v>
      </c>
      <c r="G82" s="8" t="s">
        <v>240</v>
      </c>
      <c r="H82" s="9">
        <v>4.3749999999999997E-2</v>
      </c>
      <c r="I82" s="8" t="s">
        <v>2</v>
      </c>
    </row>
    <row r="83" spans="1:11">
      <c r="A83" s="13" t="s">
        <v>60</v>
      </c>
      <c r="B83" s="14" t="s">
        <v>155</v>
      </c>
      <c r="C83" s="14">
        <v>0.5805555555555556</v>
      </c>
      <c r="D83" s="14">
        <f t="shared" si="2"/>
        <v>7.986111111111116E-2</v>
      </c>
      <c r="E83" s="14" t="s">
        <v>156</v>
      </c>
      <c r="F83" s="16">
        <v>9</v>
      </c>
      <c r="G83" s="10" t="s">
        <v>221</v>
      </c>
      <c r="H83" s="12">
        <v>9.5138888888888884E-2</v>
      </c>
      <c r="I83" s="10" t="s">
        <v>1</v>
      </c>
    </row>
    <row r="84" spans="1:11">
      <c r="A84" s="5" t="s">
        <v>51</v>
      </c>
      <c r="B84" s="6" t="s">
        <v>157</v>
      </c>
      <c r="C84" s="6" t="s">
        <v>158</v>
      </c>
      <c r="D84" s="21">
        <f t="shared" si="2"/>
        <v>4.9305555555555547E-2</v>
      </c>
      <c r="E84" s="6" t="s">
        <v>154</v>
      </c>
      <c r="F84" s="15">
        <v>15</v>
      </c>
      <c r="G84" s="8" t="s">
        <v>263</v>
      </c>
      <c r="H84" s="9">
        <v>4.6527777777777779E-2</v>
      </c>
      <c r="I84" s="8" t="s">
        <v>0</v>
      </c>
    </row>
    <row r="85" spans="1:11">
      <c r="A85" s="13" t="s">
        <v>54</v>
      </c>
      <c r="B85" s="14" t="s">
        <v>159</v>
      </c>
      <c r="C85" s="14" t="s">
        <v>160</v>
      </c>
      <c r="D85" s="14">
        <f t="shared" si="2"/>
        <v>5.7638888888888906E-2</v>
      </c>
      <c r="E85" s="14" t="s">
        <v>161</v>
      </c>
      <c r="F85" s="16">
        <v>14</v>
      </c>
      <c r="G85" s="10" t="s">
        <v>26</v>
      </c>
      <c r="H85" s="12">
        <v>6.3888888888888884E-2</v>
      </c>
      <c r="I85" s="10" t="s">
        <v>0</v>
      </c>
    </row>
    <row r="86" spans="1:11">
      <c r="A86" s="5" t="s">
        <v>49</v>
      </c>
      <c r="B86" s="6" t="s">
        <v>162</v>
      </c>
      <c r="C86" s="6">
        <v>0.49930555555555556</v>
      </c>
      <c r="D86" s="21">
        <f t="shared" si="2"/>
        <v>2.430555555555558E-2</v>
      </c>
      <c r="E86" s="6" t="s">
        <v>67</v>
      </c>
      <c r="F86" s="15">
        <v>21</v>
      </c>
      <c r="G86" s="8" t="s">
        <v>261</v>
      </c>
      <c r="H86" s="9">
        <v>2.2222222222222223E-2</v>
      </c>
      <c r="I86" s="8" t="s">
        <v>2</v>
      </c>
    </row>
    <row r="87" spans="1:11">
      <c r="A87" s="13" t="s">
        <v>105</v>
      </c>
      <c r="B87" s="14" t="s">
        <v>163</v>
      </c>
      <c r="C87" s="14">
        <v>0.77916666666666667</v>
      </c>
      <c r="D87" s="14">
        <f t="shared" si="2"/>
        <v>2.0138888888888928E-2</v>
      </c>
      <c r="E87" s="14" t="s">
        <v>147</v>
      </c>
      <c r="F87" s="16">
        <v>15</v>
      </c>
      <c r="G87" s="10" t="s">
        <v>260</v>
      </c>
      <c r="H87" s="12">
        <v>1.1111111111111112E-2</v>
      </c>
      <c r="I87" s="10" t="s">
        <v>1</v>
      </c>
    </row>
    <row r="88" spans="1:11">
      <c r="A88" s="5" t="s">
        <v>85</v>
      </c>
      <c r="B88" s="6" t="s">
        <v>164</v>
      </c>
      <c r="C88" s="6">
        <v>0.27430555555555558</v>
      </c>
      <c r="D88" s="21">
        <f t="shared" si="2"/>
        <v>1.5277777777777779E-2</v>
      </c>
      <c r="E88" s="6" t="s">
        <v>139</v>
      </c>
      <c r="F88" s="15">
        <v>16</v>
      </c>
      <c r="G88" s="8" t="s">
        <v>222</v>
      </c>
      <c r="H88" s="9">
        <v>1.6666666666666666E-2</v>
      </c>
      <c r="I88" s="8" t="s">
        <v>2</v>
      </c>
    </row>
    <row r="89" spans="1:11">
      <c r="A89" s="13" t="s">
        <v>85</v>
      </c>
      <c r="B89" s="14" t="s">
        <v>165</v>
      </c>
      <c r="C89" s="14">
        <v>0.3034722222222222</v>
      </c>
      <c r="D89" s="14">
        <f t="shared" si="2"/>
        <v>3.6111111111111094E-2</v>
      </c>
      <c r="E89" s="14" t="s">
        <v>166</v>
      </c>
      <c r="F89" s="16">
        <v>2</v>
      </c>
      <c r="G89" s="10" t="s">
        <v>253</v>
      </c>
      <c r="H89" s="12">
        <v>3.8194444444444448E-2</v>
      </c>
      <c r="I89" s="10" t="s">
        <v>2</v>
      </c>
    </row>
    <row r="90" spans="1:11">
      <c r="A90" s="5" t="s">
        <v>49</v>
      </c>
      <c r="B90" s="6" t="s">
        <v>167</v>
      </c>
      <c r="C90" s="6" t="s">
        <v>168</v>
      </c>
      <c r="D90" s="21">
        <f t="shared" si="2"/>
        <v>6.2500000000000333E-3</v>
      </c>
      <c r="E90" s="6" t="s">
        <v>169</v>
      </c>
      <c r="F90" s="15">
        <v>2</v>
      </c>
      <c r="G90" s="8" t="s">
        <v>229</v>
      </c>
      <c r="H90" s="9">
        <v>4.8611111111111112E-3</v>
      </c>
      <c r="I90" s="8" t="s">
        <v>0</v>
      </c>
    </row>
    <row r="91" spans="1:11">
      <c r="A91" s="13" t="s">
        <v>60</v>
      </c>
      <c r="B91" s="14" t="s">
        <v>135</v>
      </c>
      <c r="C91" s="14">
        <v>0.8</v>
      </c>
      <c r="D91" s="14">
        <f t="shared" si="2"/>
        <v>3.2638888888888884E-2</v>
      </c>
      <c r="E91" s="14" t="s">
        <v>149</v>
      </c>
      <c r="F91" s="16">
        <v>6</v>
      </c>
      <c r="G91" s="10" t="s">
        <v>259</v>
      </c>
      <c r="H91" s="12">
        <v>3.888888888888889E-2</v>
      </c>
      <c r="I91" s="10" t="s">
        <v>1</v>
      </c>
    </row>
    <row r="92" spans="1:11">
      <c r="A92" s="5" t="s">
        <v>105</v>
      </c>
      <c r="B92" s="6" t="s">
        <v>170</v>
      </c>
      <c r="C92" s="6">
        <v>0.40138888888888891</v>
      </c>
      <c r="D92" s="21">
        <f t="shared" si="2"/>
        <v>3.5416666666666707E-2</v>
      </c>
      <c r="E92" s="6" t="s">
        <v>149</v>
      </c>
      <c r="F92" s="15">
        <v>10</v>
      </c>
      <c r="G92" s="8" t="s">
        <v>225</v>
      </c>
      <c r="H92" s="9">
        <v>4.2361111111111113E-2</v>
      </c>
      <c r="I92" s="8" t="s">
        <v>1</v>
      </c>
    </row>
    <row r="93" spans="1:11" ht="18">
      <c r="A93" s="13" t="s">
        <v>115</v>
      </c>
      <c r="B93" s="14" t="s">
        <v>158</v>
      </c>
      <c r="C93" s="14">
        <v>0.50694444444444442</v>
      </c>
      <c r="D93" s="14">
        <f t="shared" si="2"/>
        <v>9.7222222222221877E-3</v>
      </c>
      <c r="E93" s="14" t="s">
        <v>171</v>
      </c>
      <c r="F93" s="16">
        <v>2</v>
      </c>
      <c r="G93" s="10" t="s">
        <v>281</v>
      </c>
      <c r="H93" s="12">
        <v>1.1111111111111112E-2</v>
      </c>
      <c r="I93" s="10" t="s">
        <v>0</v>
      </c>
      <c r="K93" s="19"/>
    </row>
    <row r="94" spans="1:11" ht="18">
      <c r="A94" s="5" t="s">
        <v>57</v>
      </c>
      <c r="B94" s="6" t="s">
        <v>172</v>
      </c>
      <c r="C94" s="6">
        <v>0.60138888888888886</v>
      </c>
      <c r="D94" s="21">
        <f t="shared" ref="D94:D113" si="3">C94-B94</f>
        <v>4.7222222222222165E-2</v>
      </c>
      <c r="E94" s="6" t="s">
        <v>84</v>
      </c>
      <c r="F94" s="15">
        <v>19</v>
      </c>
      <c r="G94" s="8" t="s">
        <v>21</v>
      </c>
      <c r="H94" s="9">
        <v>4.4444444444444446E-2</v>
      </c>
      <c r="I94" s="8" t="s">
        <v>0</v>
      </c>
      <c r="K94" s="19"/>
    </row>
    <row r="95" spans="1:11" ht="18">
      <c r="A95" s="13" t="s">
        <v>60</v>
      </c>
      <c r="B95" s="14" t="s">
        <v>173</v>
      </c>
      <c r="C95" s="14">
        <v>0.79722222222222228</v>
      </c>
      <c r="D95" s="14">
        <f t="shared" si="3"/>
        <v>8.0555555555555602E-2</v>
      </c>
      <c r="E95" s="14" t="s">
        <v>174</v>
      </c>
      <c r="F95" s="16">
        <v>14</v>
      </c>
      <c r="G95" s="10" t="s">
        <v>218</v>
      </c>
      <c r="H95" s="12">
        <v>8.2638888888888887E-2</v>
      </c>
      <c r="I95" s="10" t="s">
        <v>1</v>
      </c>
      <c r="K95" s="19"/>
    </row>
    <row r="96" spans="1:11" ht="18">
      <c r="A96" s="5" t="s">
        <v>77</v>
      </c>
      <c r="B96" s="6" t="s">
        <v>175</v>
      </c>
      <c r="C96" s="6">
        <v>0.38750000000000001</v>
      </c>
      <c r="D96" s="21">
        <f t="shared" si="3"/>
        <v>3.7500000000000033E-2</v>
      </c>
      <c r="E96" s="6" t="s">
        <v>104</v>
      </c>
      <c r="F96" s="15">
        <v>17</v>
      </c>
      <c r="G96" s="8" t="s">
        <v>276</v>
      </c>
      <c r="H96" s="9">
        <v>3.4722222222222224E-2</v>
      </c>
      <c r="I96" s="8" t="s">
        <v>1</v>
      </c>
      <c r="K96" s="19"/>
    </row>
    <row r="97" spans="1:11" ht="18">
      <c r="A97" s="13" t="s">
        <v>43</v>
      </c>
      <c r="B97" s="14" t="s">
        <v>176</v>
      </c>
      <c r="C97" s="14">
        <v>0.92152777777777772</v>
      </c>
      <c r="D97" s="14">
        <f t="shared" si="3"/>
        <v>2.4305555555555469E-2</v>
      </c>
      <c r="E97" s="14" t="s">
        <v>65</v>
      </c>
      <c r="F97" s="16">
        <v>15</v>
      </c>
      <c r="G97" s="10" t="s">
        <v>280</v>
      </c>
      <c r="H97" s="12">
        <v>2.5694444444444443E-2</v>
      </c>
      <c r="I97" s="10" t="s">
        <v>0</v>
      </c>
      <c r="K97" s="19"/>
    </row>
    <row r="98" spans="1:11" ht="18">
      <c r="A98" s="5" t="s">
        <v>40</v>
      </c>
      <c r="B98" s="6" t="s">
        <v>177</v>
      </c>
      <c r="C98" s="6">
        <v>0.86458333333333337</v>
      </c>
      <c r="D98" s="21">
        <f t="shared" si="3"/>
        <v>2.2916666666666696E-2</v>
      </c>
      <c r="E98" s="6" t="s">
        <v>154</v>
      </c>
      <c r="F98" s="15">
        <v>8</v>
      </c>
      <c r="G98" s="8" t="s">
        <v>264</v>
      </c>
      <c r="H98" s="9">
        <v>2.1527777777777778E-2</v>
      </c>
      <c r="I98" s="8" t="s">
        <v>2</v>
      </c>
      <c r="K98" s="19"/>
    </row>
    <row r="99" spans="1:11" ht="18">
      <c r="A99" s="13" t="s">
        <v>115</v>
      </c>
      <c r="B99" s="14" t="s">
        <v>178</v>
      </c>
      <c r="C99" s="14">
        <v>0.99027777777777781</v>
      </c>
      <c r="D99" s="14">
        <f t="shared" si="3"/>
        <v>2.9166666666666674E-2</v>
      </c>
      <c r="E99" s="14" t="s">
        <v>53</v>
      </c>
      <c r="F99" s="16">
        <v>12</v>
      </c>
      <c r="G99" s="10" t="s">
        <v>268</v>
      </c>
      <c r="H99" s="12">
        <v>3.125E-2</v>
      </c>
      <c r="I99" s="10" t="s">
        <v>2</v>
      </c>
      <c r="K99" s="19"/>
    </row>
    <row r="100" spans="1:11" ht="18">
      <c r="A100" s="5" t="s">
        <v>77</v>
      </c>
      <c r="B100" s="6" t="s">
        <v>91</v>
      </c>
      <c r="C100" s="6" t="s">
        <v>41</v>
      </c>
      <c r="D100" s="21">
        <f t="shared" si="3"/>
        <v>4.0277777777777746E-2</v>
      </c>
      <c r="E100" s="6" t="s">
        <v>179</v>
      </c>
      <c r="F100" s="15">
        <v>15</v>
      </c>
      <c r="G100" s="8" t="s">
        <v>270</v>
      </c>
      <c r="H100" s="9">
        <v>4.2361111111111113E-2</v>
      </c>
      <c r="I100" s="8" t="s">
        <v>0</v>
      </c>
      <c r="K100" s="19"/>
    </row>
    <row r="101" spans="1:11" ht="18">
      <c r="A101" s="13" t="s">
        <v>46</v>
      </c>
      <c r="B101" s="14" t="s">
        <v>180</v>
      </c>
      <c r="C101" s="14">
        <v>0.28472222222222221</v>
      </c>
      <c r="D101" s="14">
        <f t="shared" si="3"/>
        <v>2.1527777777777757E-2</v>
      </c>
      <c r="E101" s="14" t="s">
        <v>181</v>
      </c>
      <c r="F101" s="16">
        <v>11</v>
      </c>
      <c r="G101" s="10" t="s">
        <v>28</v>
      </c>
      <c r="H101" s="12">
        <v>2.013888888888889E-2</v>
      </c>
      <c r="I101" s="10" t="s">
        <v>2</v>
      </c>
      <c r="K101" s="19"/>
    </row>
    <row r="102" spans="1:11" ht="18">
      <c r="A102" s="5" t="s">
        <v>46</v>
      </c>
      <c r="B102" s="6" t="s">
        <v>182</v>
      </c>
      <c r="C102" s="6">
        <v>0.65486111111111112</v>
      </c>
      <c r="D102" s="21">
        <f t="shared" si="3"/>
        <v>3.0555555555555558E-2</v>
      </c>
      <c r="E102" s="6" t="s">
        <v>9</v>
      </c>
      <c r="F102" s="15">
        <v>13</v>
      </c>
      <c r="G102" s="8" t="s">
        <v>4</v>
      </c>
      <c r="H102" s="9">
        <v>3.2638888888888891E-2</v>
      </c>
      <c r="I102" s="8" t="s">
        <v>0</v>
      </c>
      <c r="K102" s="19"/>
    </row>
    <row r="103" spans="1:11">
      <c r="A103" s="13" t="s">
        <v>77</v>
      </c>
      <c r="B103" s="14" t="s">
        <v>183</v>
      </c>
      <c r="C103" s="14">
        <v>0.28194444444444444</v>
      </c>
      <c r="D103" s="14">
        <f t="shared" si="3"/>
        <v>2.8472222222222232E-2</v>
      </c>
      <c r="E103" s="14" t="s">
        <v>13</v>
      </c>
      <c r="F103" s="16">
        <v>14</v>
      </c>
      <c r="G103" s="10" t="s">
        <v>273</v>
      </c>
      <c r="H103" s="12">
        <v>2.6388888888888889E-2</v>
      </c>
      <c r="I103" s="10" t="s">
        <v>2</v>
      </c>
      <c r="K103" s="20"/>
    </row>
    <row r="104" spans="1:11">
      <c r="A104" s="5" t="s">
        <v>72</v>
      </c>
      <c r="B104" s="6" t="s">
        <v>184</v>
      </c>
      <c r="C104" s="6">
        <v>0.59722222222222221</v>
      </c>
      <c r="D104" s="21">
        <f t="shared" si="3"/>
        <v>5.4166666666666696E-2</v>
      </c>
      <c r="E104" s="6" t="s">
        <v>185</v>
      </c>
      <c r="F104" s="15">
        <v>9</v>
      </c>
      <c r="G104" s="8" t="s">
        <v>274</v>
      </c>
      <c r="H104" s="9">
        <v>5.6250000000000001E-2</v>
      </c>
      <c r="I104" s="8" t="s">
        <v>0</v>
      </c>
      <c r="K104" s="20"/>
    </row>
    <row r="105" spans="1:11">
      <c r="A105" s="13" t="s">
        <v>57</v>
      </c>
      <c r="B105" s="14" t="s">
        <v>186</v>
      </c>
      <c r="C105" s="14">
        <v>0.97083333333333333</v>
      </c>
      <c r="D105" s="14">
        <f t="shared" si="3"/>
        <v>1.3194444444444398E-2</v>
      </c>
      <c r="E105" s="14" t="s">
        <v>118</v>
      </c>
      <c r="F105" s="16">
        <v>4</v>
      </c>
      <c r="G105" s="10" t="s">
        <v>260</v>
      </c>
      <c r="H105" s="12">
        <v>1.5277777777777777E-2</v>
      </c>
      <c r="I105" s="10" t="s">
        <v>2</v>
      </c>
      <c r="K105" s="20"/>
    </row>
    <row r="106" spans="1:11">
      <c r="A106" s="5" t="s">
        <v>40</v>
      </c>
      <c r="B106" s="6" t="s">
        <v>187</v>
      </c>
      <c r="C106" s="6">
        <v>0.84722222222222221</v>
      </c>
      <c r="D106" s="21">
        <f t="shared" si="3"/>
        <v>3.819444444444442E-2</v>
      </c>
      <c r="E106" s="6" t="s">
        <v>76</v>
      </c>
      <c r="F106" s="15">
        <v>12</v>
      </c>
      <c r="G106" s="8" t="s">
        <v>269</v>
      </c>
      <c r="H106" s="9">
        <v>3.6111111111111108E-2</v>
      </c>
      <c r="I106" s="8" t="s">
        <v>0</v>
      </c>
      <c r="K106" s="20"/>
    </row>
    <row r="107" spans="1:11">
      <c r="A107" s="13" t="s">
        <v>40</v>
      </c>
      <c r="B107" s="14" t="s">
        <v>188</v>
      </c>
      <c r="C107" s="14">
        <v>0.42499999999999999</v>
      </c>
      <c r="D107" s="14">
        <f t="shared" si="3"/>
        <v>3.1944444444444442E-2</v>
      </c>
      <c r="E107" s="14" t="s">
        <v>67</v>
      </c>
      <c r="F107" s="16">
        <v>13</v>
      </c>
      <c r="G107" s="10" t="s">
        <v>262</v>
      </c>
      <c r="H107" s="12">
        <v>3.4027777777777775E-2</v>
      </c>
      <c r="I107" s="10" t="s">
        <v>1</v>
      </c>
      <c r="K107" s="20"/>
    </row>
    <row r="108" spans="1:11">
      <c r="A108" s="5" t="s">
        <v>57</v>
      </c>
      <c r="B108" s="6" t="s">
        <v>189</v>
      </c>
      <c r="C108" s="6">
        <v>1.1111111111111112E-2</v>
      </c>
      <c r="D108" s="21">
        <v>1.9444444444444445E-2</v>
      </c>
      <c r="E108" s="6" t="s">
        <v>45</v>
      </c>
      <c r="F108" s="15">
        <v>11</v>
      </c>
      <c r="G108" s="8" t="s">
        <v>219</v>
      </c>
      <c r="H108" s="9">
        <v>1.8055555555555554E-2</v>
      </c>
      <c r="I108" s="8" t="s">
        <v>2</v>
      </c>
      <c r="K108" s="20"/>
    </row>
    <row r="109" spans="1:11">
      <c r="A109" s="13" t="s">
        <v>46</v>
      </c>
      <c r="B109" s="14" t="s">
        <v>190</v>
      </c>
      <c r="C109" s="14">
        <v>0.63402777777777775</v>
      </c>
      <c r="D109" s="14">
        <f t="shared" si="3"/>
        <v>3.1944444444444442E-2</v>
      </c>
      <c r="E109" s="14" t="s">
        <v>191</v>
      </c>
      <c r="F109" s="16">
        <v>7</v>
      </c>
      <c r="G109" s="10" t="s">
        <v>239</v>
      </c>
      <c r="H109" s="12">
        <v>3.0555555555555555E-2</v>
      </c>
      <c r="I109" s="10" t="s">
        <v>0</v>
      </c>
      <c r="K109" s="20"/>
    </row>
    <row r="110" spans="1:11">
      <c r="A110" s="5" t="s">
        <v>43</v>
      </c>
      <c r="B110" s="6" t="s">
        <v>192</v>
      </c>
      <c r="C110" s="6">
        <v>0.99375000000000002</v>
      </c>
      <c r="D110" s="21">
        <f t="shared" si="3"/>
        <v>3.472222222222221E-2</v>
      </c>
      <c r="E110" s="6" t="s">
        <v>193</v>
      </c>
      <c r="F110" s="15">
        <v>5</v>
      </c>
      <c r="G110" s="8" t="s">
        <v>277</v>
      </c>
      <c r="H110" s="9">
        <v>3.6805555555555557E-2</v>
      </c>
      <c r="I110" s="8" t="s">
        <v>2</v>
      </c>
      <c r="K110" s="20"/>
    </row>
    <row r="111" spans="1:11">
      <c r="A111" s="13" t="s">
        <v>43</v>
      </c>
      <c r="B111" s="14" t="s">
        <v>194</v>
      </c>
      <c r="C111" s="14">
        <v>0.67847222222222225</v>
      </c>
      <c r="D111" s="14">
        <f t="shared" si="3"/>
        <v>2.3611111111111138E-2</v>
      </c>
      <c r="E111" s="14" t="s">
        <v>195</v>
      </c>
      <c r="F111" s="16">
        <v>13</v>
      </c>
      <c r="G111" s="10" t="s">
        <v>278</v>
      </c>
      <c r="H111" s="12">
        <v>2.1527777777777778E-2</v>
      </c>
      <c r="I111" s="10" t="s">
        <v>0</v>
      </c>
      <c r="K111" s="20"/>
    </row>
    <row r="112" spans="1:11">
      <c r="A112" s="5" t="s">
        <v>60</v>
      </c>
      <c r="B112" s="6" t="s">
        <v>196</v>
      </c>
      <c r="C112" s="6">
        <v>0.29722222222222222</v>
      </c>
      <c r="D112" s="21">
        <f t="shared" si="3"/>
        <v>1.1111111111111127E-2</v>
      </c>
      <c r="E112" s="6" t="s">
        <v>197</v>
      </c>
      <c r="F112" s="15">
        <v>11</v>
      </c>
      <c r="G112" s="8" t="s">
        <v>259</v>
      </c>
      <c r="H112" s="9">
        <v>1.2500000000000001E-2</v>
      </c>
      <c r="I112" s="8" t="s">
        <v>2</v>
      </c>
      <c r="K112" s="20"/>
    </row>
    <row r="113" spans="1:11">
      <c r="A113" s="13" t="s">
        <v>51</v>
      </c>
      <c r="B113" s="14" t="s">
        <v>198</v>
      </c>
      <c r="C113" s="14">
        <v>0.78749999999999998</v>
      </c>
      <c r="D113" s="14">
        <f t="shared" si="3"/>
        <v>3.1944444444444442E-2</v>
      </c>
      <c r="E113" s="14" t="s">
        <v>56</v>
      </c>
      <c r="F113" s="16">
        <v>8</v>
      </c>
      <c r="G113" s="10" t="s">
        <v>220</v>
      </c>
      <c r="H113" s="12">
        <v>3.3333333333333333E-2</v>
      </c>
      <c r="I113" s="10" t="s">
        <v>1</v>
      </c>
      <c r="K113" s="20"/>
    </row>
    <row r="114" spans="1:11" ht="18">
      <c r="A114" s="5" t="s">
        <v>40</v>
      </c>
      <c r="B114" s="6" t="s">
        <v>199</v>
      </c>
      <c r="C114" s="6">
        <v>0.97499999999999998</v>
      </c>
      <c r="D114" s="21">
        <f>C114-B114</f>
        <v>1.8749999999999933E-2</v>
      </c>
      <c r="E114" s="6" t="s">
        <v>200</v>
      </c>
      <c r="F114" s="15">
        <v>10</v>
      </c>
      <c r="G114" s="8" t="s">
        <v>265</v>
      </c>
      <c r="H114" s="9">
        <v>2.013888888888889E-2</v>
      </c>
      <c r="I114" s="8" t="s">
        <v>2</v>
      </c>
      <c r="J114" s="19"/>
    </row>
    <row r="115" spans="1:11" ht="18">
      <c r="A115" s="13" t="s">
        <v>85</v>
      </c>
      <c r="B115" s="14" t="s">
        <v>201</v>
      </c>
      <c r="C115" s="14">
        <v>0.3</v>
      </c>
      <c r="D115" s="14">
        <f t="shared" ref="D115:D128" si="4">C115-B115</f>
        <v>3.125E-2</v>
      </c>
      <c r="E115" s="14" t="s">
        <v>193</v>
      </c>
      <c r="F115" s="16">
        <v>8</v>
      </c>
      <c r="G115" s="10" t="s">
        <v>277</v>
      </c>
      <c r="H115" s="12">
        <v>3.2638888888888891E-2</v>
      </c>
      <c r="I115" s="10" t="s">
        <v>2</v>
      </c>
      <c r="J115" s="19"/>
    </row>
    <row r="116" spans="1:11" ht="18">
      <c r="A116" s="5" t="s">
        <v>49</v>
      </c>
      <c r="B116" s="6" t="s">
        <v>202</v>
      </c>
      <c r="C116" s="6">
        <v>0.3347222222222222</v>
      </c>
      <c r="D116" s="21">
        <f t="shared" si="4"/>
        <v>6.2499999999999778E-3</v>
      </c>
      <c r="E116" s="6" t="s">
        <v>203</v>
      </c>
      <c r="F116" s="15">
        <v>3</v>
      </c>
      <c r="G116" s="8" t="s">
        <v>279</v>
      </c>
      <c r="H116" s="9">
        <v>6.9444444444444441E-3</v>
      </c>
      <c r="I116" s="8" t="s">
        <v>2</v>
      </c>
      <c r="J116" s="19"/>
    </row>
    <row r="117" spans="1:11" ht="18">
      <c r="A117" s="13" t="s">
        <v>72</v>
      </c>
      <c r="B117" s="14" t="s">
        <v>204</v>
      </c>
      <c r="C117" s="14">
        <v>1.1805555555555555E-2</v>
      </c>
      <c r="D117" s="14">
        <v>4.583333333333333E-2</v>
      </c>
      <c r="E117" s="14" t="s">
        <v>205</v>
      </c>
      <c r="F117" s="16">
        <v>2</v>
      </c>
      <c r="G117" s="10" t="s">
        <v>272</v>
      </c>
      <c r="H117" s="12">
        <v>4.8611111111111112E-2</v>
      </c>
      <c r="I117" s="10" t="s">
        <v>0</v>
      </c>
      <c r="J117" s="19"/>
    </row>
    <row r="118" spans="1:11" ht="18">
      <c r="A118" s="5" t="s">
        <v>46</v>
      </c>
      <c r="B118" s="6" t="s">
        <v>206</v>
      </c>
      <c r="C118" s="6">
        <v>0.50208333333333333</v>
      </c>
      <c r="D118" s="21">
        <f t="shared" si="4"/>
        <v>2.8472222222222232E-2</v>
      </c>
      <c r="E118" s="6" t="s">
        <v>200</v>
      </c>
      <c r="F118" s="15">
        <v>12</v>
      </c>
      <c r="G118" s="8" t="s">
        <v>266</v>
      </c>
      <c r="H118" s="9">
        <v>2.7083333333333334E-2</v>
      </c>
      <c r="I118" s="8" t="s">
        <v>0</v>
      </c>
      <c r="J118" s="19"/>
    </row>
    <row r="119" spans="1:11" ht="18">
      <c r="A119" s="13" t="s">
        <v>43</v>
      </c>
      <c r="B119" s="14" t="s">
        <v>207</v>
      </c>
      <c r="C119" s="14">
        <v>0.61111111111111116</v>
      </c>
      <c r="D119" s="14">
        <f t="shared" si="4"/>
        <v>1.5972222222222276E-2</v>
      </c>
      <c r="E119" s="14" t="s">
        <v>56</v>
      </c>
      <c r="F119" s="16">
        <v>15</v>
      </c>
      <c r="G119" s="10" t="s">
        <v>222</v>
      </c>
      <c r="H119" s="12">
        <v>2.6388888888888889E-2</v>
      </c>
      <c r="I119" s="10" t="s">
        <v>0</v>
      </c>
      <c r="J119" s="19"/>
    </row>
    <row r="120" spans="1:11" ht="18">
      <c r="A120" s="5" t="s">
        <v>79</v>
      </c>
      <c r="B120" s="6" t="s">
        <v>208</v>
      </c>
      <c r="C120" s="6">
        <v>1.3888888888888889E-3</v>
      </c>
      <c r="D120" s="21">
        <v>2.013888888888889E-2</v>
      </c>
      <c r="E120" s="6" t="s">
        <v>9</v>
      </c>
      <c r="F120" s="15">
        <v>11</v>
      </c>
      <c r="G120" s="8" t="s">
        <v>4</v>
      </c>
      <c r="H120" s="9">
        <v>2.1527777777777778E-2</v>
      </c>
      <c r="I120" s="8" t="s">
        <v>2</v>
      </c>
      <c r="J120" s="19"/>
    </row>
    <row r="121" spans="1:11" ht="18">
      <c r="A121" s="13" t="s">
        <v>51</v>
      </c>
      <c r="B121" s="14" t="s">
        <v>209</v>
      </c>
      <c r="C121" s="14">
        <v>0.85833333333333328</v>
      </c>
      <c r="D121" s="14">
        <f t="shared" si="4"/>
        <v>7.0833333333333304E-2</v>
      </c>
      <c r="E121" s="14" t="s">
        <v>193</v>
      </c>
      <c r="F121" s="16">
        <v>6</v>
      </c>
      <c r="G121" s="10" t="s">
        <v>277</v>
      </c>
      <c r="H121" s="12">
        <v>7.4305555555555555E-2</v>
      </c>
      <c r="I121" s="10" t="s">
        <v>1</v>
      </c>
      <c r="J121" s="19"/>
    </row>
    <row r="122" spans="1:11" ht="18">
      <c r="A122" s="5" t="s">
        <v>51</v>
      </c>
      <c r="B122" s="6" t="s">
        <v>210</v>
      </c>
      <c r="C122" s="6">
        <v>0.91388888888888886</v>
      </c>
      <c r="D122" s="21">
        <f t="shared" si="4"/>
        <v>5.4166666666666585E-2</v>
      </c>
      <c r="E122" s="6" t="s">
        <v>16</v>
      </c>
      <c r="F122" s="15">
        <v>13</v>
      </c>
      <c r="G122" s="8" t="s">
        <v>271</v>
      </c>
      <c r="H122" s="9">
        <v>5.1388888888888887E-2</v>
      </c>
      <c r="I122" s="8" t="s">
        <v>0</v>
      </c>
      <c r="J122" s="19"/>
    </row>
    <row r="123" spans="1:11" ht="18">
      <c r="A123" s="13" t="s">
        <v>105</v>
      </c>
      <c r="B123" s="14" t="s">
        <v>211</v>
      </c>
      <c r="C123" s="14">
        <v>0.74375000000000002</v>
      </c>
      <c r="D123" s="14">
        <f t="shared" si="4"/>
        <v>5.6250000000000022E-2</v>
      </c>
      <c r="E123" s="14" t="s">
        <v>30</v>
      </c>
      <c r="F123" s="16">
        <v>5</v>
      </c>
      <c r="G123" s="10" t="s">
        <v>3</v>
      </c>
      <c r="H123" s="12">
        <v>5.9027777777777776E-2</v>
      </c>
      <c r="I123" s="10" t="s">
        <v>1</v>
      </c>
      <c r="J123" s="19"/>
    </row>
    <row r="124" spans="1:11" ht="18">
      <c r="A124" s="5" t="s">
        <v>72</v>
      </c>
      <c r="B124" s="6" t="s">
        <v>212</v>
      </c>
      <c r="C124" s="6">
        <v>0.39861111111111114</v>
      </c>
      <c r="D124" s="21">
        <f t="shared" si="4"/>
        <v>2.9166666666666674E-2</v>
      </c>
      <c r="E124" s="6" t="s">
        <v>213</v>
      </c>
      <c r="F124" s="15">
        <v>7</v>
      </c>
      <c r="G124" s="8" t="s">
        <v>267</v>
      </c>
      <c r="H124" s="9">
        <v>3.125E-2</v>
      </c>
      <c r="I124" s="8" t="s">
        <v>0</v>
      </c>
      <c r="J124" s="19"/>
    </row>
    <row r="125" spans="1:11" ht="18">
      <c r="A125" s="13" t="s">
        <v>85</v>
      </c>
      <c r="B125" s="14" t="s">
        <v>214</v>
      </c>
      <c r="C125" s="14">
        <v>0.47708333333333336</v>
      </c>
      <c r="D125" s="14">
        <f t="shared" si="4"/>
        <v>1.1111111111111127E-2</v>
      </c>
      <c r="E125" s="14" t="s">
        <v>56</v>
      </c>
      <c r="F125" s="16">
        <v>9</v>
      </c>
      <c r="G125" s="10" t="s">
        <v>225</v>
      </c>
      <c r="H125" s="12">
        <v>1.1805555555555555E-2</v>
      </c>
      <c r="I125" s="10" t="s">
        <v>2</v>
      </c>
      <c r="J125" s="19"/>
    </row>
    <row r="126" spans="1:11" ht="18">
      <c r="A126" s="5" t="s">
        <v>105</v>
      </c>
      <c r="B126" s="6" t="s">
        <v>215</v>
      </c>
      <c r="C126" s="6">
        <v>0.54722222222222228</v>
      </c>
      <c r="D126" s="21">
        <f t="shared" si="4"/>
        <v>4.9305555555555602E-2</v>
      </c>
      <c r="E126" s="6" t="s">
        <v>185</v>
      </c>
      <c r="F126" s="15">
        <v>2</v>
      </c>
      <c r="G126" s="8" t="s">
        <v>275</v>
      </c>
      <c r="H126" s="9">
        <v>4.583333333333333E-2</v>
      </c>
      <c r="I126" s="8" t="s">
        <v>0</v>
      </c>
      <c r="J126" s="19"/>
    </row>
    <row r="127" spans="1:11" ht="18">
      <c r="A127" s="13" t="s">
        <v>46</v>
      </c>
      <c r="B127" s="14" t="s">
        <v>216</v>
      </c>
      <c r="C127" s="14">
        <v>0.34097222222222223</v>
      </c>
      <c r="D127" s="14">
        <f t="shared" si="4"/>
        <v>9.7222222222222432E-3</v>
      </c>
      <c r="E127" s="14" t="s">
        <v>217</v>
      </c>
      <c r="F127" s="16">
        <v>4</v>
      </c>
      <c r="G127" s="10" t="s">
        <v>232</v>
      </c>
      <c r="H127" s="12">
        <v>1.0416666666666666E-2</v>
      </c>
      <c r="I127" s="10" t="s">
        <v>2</v>
      </c>
      <c r="J127" s="19"/>
    </row>
    <row r="128" spans="1:11" ht="18">
      <c r="A128" s="5" t="s">
        <v>72</v>
      </c>
      <c r="B128" s="6" t="s">
        <v>182</v>
      </c>
      <c r="C128" s="6">
        <v>0.65416666666666667</v>
      </c>
      <c r="D128" s="21">
        <f t="shared" si="4"/>
        <v>2.9861111111111116E-2</v>
      </c>
      <c r="E128" s="6" t="s">
        <v>143</v>
      </c>
      <c r="F128" s="15">
        <v>14</v>
      </c>
      <c r="G128" s="8" t="s">
        <v>234</v>
      </c>
      <c r="H128" s="9">
        <v>2.8472222222222222E-2</v>
      </c>
      <c r="I128" s="8" t="s">
        <v>1</v>
      </c>
      <c r="J128" s="19"/>
    </row>
  </sheetData>
  <autoFilter ref="E1:E128" xr:uid="{6B690087-E270-E642-AB04-DA14DCBF27FC}"/>
  <phoneticPr fontId="1" type="noConversion"/>
  <dataValidations count="1">
    <dataValidation type="list" allowBlank="1" showInputMessage="1" showErrorMessage="1" sqref="I2:I113 I114:I1048576" xr:uid="{722CEC3D-7BAD-0748-B0F4-4BD25C96AC77}">
      <formula1>"Low, Medium, High"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Göksu Arslan</dc:creator>
  <cp:lastModifiedBy>Göksu Arslan</cp:lastModifiedBy>
  <dcterms:created xsi:type="dcterms:W3CDTF">2026-03-31T17:26:41Z</dcterms:created>
  <dcterms:modified xsi:type="dcterms:W3CDTF">2026-05-02T16:02:32Z</dcterms:modified>
</cp:coreProperties>
</file>